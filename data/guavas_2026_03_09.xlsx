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l_101\"/>
    </mc:Choice>
  </mc:AlternateContent>
  <xr:revisionPtr revIDLastSave="0" documentId="13_ncr:1_{7701F3DF-454A-4B1D-8052-DCDF84702B9A}" xr6:coauthVersionLast="47" xr6:coauthVersionMax="47" xr10:uidLastSave="{00000000-0000-0000-0000-000000000000}"/>
  <bookViews>
    <workbookView xWindow="0" yWindow="360" windowWidth="19392" windowHeight="11472" activeTab="2" xr2:uid="{00000000-000D-0000-FFFF-FFFF00000000}"/>
  </bookViews>
  <sheets>
    <sheet name="Sheet1" sheetId="1" r:id="rId1"/>
    <sheet name="Sheet2" sheetId="3" state="hidden" r:id="rId2"/>
    <sheet name="linear_mode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J6" i="2" s="1"/>
  <c r="I7" i="2"/>
  <c r="J7" i="2" s="1"/>
  <c r="I8" i="2"/>
  <c r="J8" i="2" s="1"/>
  <c r="I9" i="2"/>
  <c r="K9" i="2" s="1"/>
  <c r="L9" i="2" s="1"/>
  <c r="I10" i="2"/>
  <c r="K10" i="2" s="1"/>
  <c r="L10" i="2" s="1"/>
  <c r="I11" i="2"/>
  <c r="K11" i="2" s="1"/>
  <c r="L11" i="2" s="1"/>
  <c r="I12" i="2"/>
  <c r="K12" i="2" s="1"/>
  <c r="L12" i="2" s="1"/>
  <c r="I13" i="2"/>
  <c r="K13" i="2" s="1"/>
  <c r="L13" i="2" s="1"/>
  <c r="I14" i="2"/>
  <c r="K14" i="2" s="1"/>
  <c r="L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K22" i="2" s="1"/>
  <c r="L22" i="2" s="1"/>
  <c r="I23" i="2"/>
  <c r="K23" i="2" s="1"/>
  <c r="L23" i="2" s="1"/>
  <c r="I24" i="2"/>
  <c r="K24" i="2" s="1"/>
  <c r="L24" i="2" s="1"/>
  <c r="I25" i="2"/>
  <c r="K25" i="2" s="1"/>
  <c r="L25" i="2" s="1"/>
  <c r="I26" i="2"/>
  <c r="K26" i="2" s="1"/>
  <c r="L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5" i="2"/>
  <c r="J5" i="2" s="1"/>
  <c r="J14" i="2" l="1"/>
  <c r="J13" i="2"/>
  <c r="J12" i="2"/>
  <c r="J11" i="2"/>
  <c r="J10" i="2"/>
  <c r="J9" i="2"/>
  <c r="K5" i="2"/>
  <c r="L5" i="2" s="1"/>
  <c r="K32" i="2"/>
  <c r="L32" i="2" s="1"/>
  <c r="K31" i="2"/>
  <c r="L31" i="2" s="1"/>
  <c r="K16" i="2"/>
  <c r="L16" i="2" s="1"/>
  <c r="K21" i="2"/>
  <c r="L21" i="2" s="1"/>
  <c r="K20" i="2"/>
  <c r="L20" i="2" s="1"/>
  <c r="K19" i="2"/>
  <c r="L19" i="2" s="1"/>
  <c r="K18" i="2"/>
  <c r="L18" i="2" s="1"/>
  <c r="K17" i="2"/>
  <c r="L17" i="2" s="1"/>
  <c r="K15" i="2"/>
  <c r="L15" i="2" s="1"/>
  <c r="J26" i="2"/>
  <c r="J25" i="2"/>
  <c r="J23" i="2"/>
  <c r="K30" i="2"/>
  <c r="L30" i="2" s="1"/>
  <c r="K8" i="2"/>
  <c r="L8" i="2" s="1"/>
  <c r="J22" i="2"/>
  <c r="K29" i="2"/>
  <c r="L29" i="2" s="1"/>
  <c r="K7" i="2"/>
  <c r="L7" i="2" s="1"/>
  <c r="K28" i="2"/>
  <c r="L28" i="2" s="1"/>
  <c r="K6" i="2"/>
  <c r="L6" i="2" s="1"/>
  <c r="K27" i="2"/>
  <c r="L27" i="2" s="1"/>
  <c r="J24" i="2"/>
  <c r="J33" i="2" l="1"/>
  <c r="L33" i="2"/>
</calcChain>
</file>

<file path=xl/sharedStrings.xml><?xml version="1.0" encoding="utf-8"?>
<sst xmlns="http://schemas.openxmlformats.org/spreadsheetml/2006/main" count="80" uniqueCount="22">
  <si>
    <t>id</t>
  </si>
  <si>
    <t>team_name</t>
  </si>
  <si>
    <t>fruit_id</t>
  </si>
  <si>
    <t>circumference_in_</t>
  </si>
  <si>
    <t>pole_to_pole_in_</t>
  </si>
  <si>
    <t>weight_in_gm</t>
  </si>
  <si>
    <t>vol_in_ml</t>
  </si>
  <si>
    <t>guiana</t>
  </si>
  <si>
    <t>Peru Peru</t>
  </si>
  <si>
    <t>venezuela</t>
  </si>
  <si>
    <t>chillipilli</t>
  </si>
  <si>
    <t>Uruguava</t>
  </si>
  <si>
    <t>Peru</t>
  </si>
  <si>
    <t>lm1</t>
  </si>
  <si>
    <t>y = 17.996 + 0.8186x</t>
  </si>
  <si>
    <t>lm2</t>
  </si>
  <si>
    <t>y</t>
  </si>
  <si>
    <t>x</t>
  </si>
  <si>
    <t>intercept</t>
  </si>
  <si>
    <t>slope</t>
  </si>
  <si>
    <t>diff-square</t>
  </si>
  <si>
    <t>y = 0.8922x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</si>
</sst>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0" tint="-4.9989318521683403E-2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weight vs Volume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weight_in_gm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Sheet1!$G$2:$G$29</c:f>
              <c:numCache>
                <c:formatCode>General</c:formatCode>
                <c:ptCount val="28"/>
                <c:pt idx="0">
                  <c:v>280</c:v>
                </c:pt>
                <c:pt idx="1">
                  <c:v>350</c:v>
                </c:pt>
                <c:pt idx="2">
                  <c:v>200</c:v>
                </c:pt>
                <c:pt idx="3">
                  <c:v>170</c:v>
                </c:pt>
                <c:pt idx="4">
                  <c:v>393.33</c:v>
                </c:pt>
                <c:pt idx="5">
                  <c:v>200</c:v>
                </c:pt>
                <c:pt idx="6">
                  <c:v>121.67</c:v>
                </c:pt>
                <c:pt idx="7">
                  <c:v>171.67</c:v>
                </c:pt>
                <c:pt idx="8">
                  <c:v>118.33</c:v>
                </c:pt>
                <c:pt idx="9">
                  <c:v>315</c:v>
                </c:pt>
                <c:pt idx="10">
                  <c:v>195</c:v>
                </c:pt>
                <c:pt idx="11">
                  <c:v>120</c:v>
                </c:pt>
                <c:pt idx="12">
                  <c:v>125</c:v>
                </c:pt>
                <c:pt idx="13">
                  <c:v>190</c:v>
                </c:pt>
                <c:pt idx="14">
                  <c:v>183</c:v>
                </c:pt>
                <c:pt idx="15">
                  <c:v>325</c:v>
                </c:pt>
                <c:pt idx="16">
                  <c:v>240</c:v>
                </c:pt>
                <c:pt idx="17">
                  <c:v>200</c:v>
                </c:pt>
                <c:pt idx="18">
                  <c:v>150</c:v>
                </c:pt>
                <c:pt idx="19">
                  <c:v>180</c:v>
                </c:pt>
                <c:pt idx="20">
                  <c:v>400</c:v>
                </c:pt>
                <c:pt idx="21">
                  <c:v>175</c:v>
                </c:pt>
                <c:pt idx="22">
                  <c:v>170</c:v>
                </c:pt>
                <c:pt idx="23">
                  <c:v>140</c:v>
                </c:pt>
                <c:pt idx="24">
                  <c:v>100</c:v>
                </c:pt>
                <c:pt idx="25">
                  <c:v>350</c:v>
                </c:pt>
                <c:pt idx="26">
                  <c:v>120</c:v>
                </c:pt>
                <c:pt idx="27">
                  <c:v>100</c:v>
                </c:pt>
              </c:numCache>
            </c:numRef>
          </c:xVal>
          <c:yVal>
            <c:numRef>
              <c:f>Sheet1!$F$2:$F$29</c:f>
              <c:numCache>
                <c:formatCode>General</c:formatCode>
                <c:ptCount val="28"/>
                <c:pt idx="0">
                  <c:v>206</c:v>
                </c:pt>
                <c:pt idx="1">
                  <c:v>295</c:v>
                </c:pt>
                <c:pt idx="2">
                  <c:v>240</c:v>
                </c:pt>
                <c:pt idx="3">
                  <c:v>133</c:v>
                </c:pt>
                <c:pt idx="4">
                  <c:v>294.67</c:v>
                </c:pt>
                <c:pt idx="5">
                  <c:v>177.33</c:v>
                </c:pt>
                <c:pt idx="6">
                  <c:v>126.33</c:v>
                </c:pt>
                <c:pt idx="7">
                  <c:v>142.33000000000001</c:v>
                </c:pt>
                <c:pt idx="8">
                  <c:v>131</c:v>
                </c:pt>
                <c:pt idx="9">
                  <c:v>317</c:v>
                </c:pt>
                <c:pt idx="10">
                  <c:v>182</c:v>
                </c:pt>
                <c:pt idx="11">
                  <c:v>126</c:v>
                </c:pt>
                <c:pt idx="12">
                  <c:v>136</c:v>
                </c:pt>
                <c:pt idx="13">
                  <c:v>134</c:v>
                </c:pt>
                <c:pt idx="14">
                  <c:v>120</c:v>
                </c:pt>
                <c:pt idx="15">
                  <c:v>318</c:v>
                </c:pt>
                <c:pt idx="16">
                  <c:v>217</c:v>
                </c:pt>
                <c:pt idx="17">
                  <c:v>186</c:v>
                </c:pt>
                <c:pt idx="18">
                  <c:v>141</c:v>
                </c:pt>
                <c:pt idx="19">
                  <c:v>166</c:v>
                </c:pt>
                <c:pt idx="20">
                  <c:v>365</c:v>
                </c:pt>
                <c:pt idx="21">
                  <c:v>172</c:v>
                </c:pt>
                <c:pt idx="22">
                  <c:v>152</c:v>
                </c:pt>
                <c:pt idx="23">
                  <c:v>148</c:v>
                </c:pt>
                <c:pt idx="24">
                  <c:v>93</c:v>
                </c:pt>
                <c:pt idx="25">
                  <c:v>314</c:v>
                </c:pt>
                <c:pt idx="26">
                  <c:v>112</c:v>
                </c:pt>
                <c:pt idx="27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D2-D64C-A523-1674B7EF3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000903"/>
        <c:axId val="1461581321"/>
      </c:scatterChart>
      <c:valAx>
        <c:axId val="18690009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1581321"/>
        <c:crosses val="autoZero"/>
        <c:crossBetween val="midCat"/>
      </c:valAx>
      <c:valAx>
        <c:axId val="1461581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900090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weight vs circumference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weight_in_gm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Sheet1!$D$2:$D$29</c:f>
              <c:numCache>
                <c:formatCode>General</c:formatCode>
                <c:ptCount val="28"/>
                <c:pt idx="0">
                  <c:v>23.7</c:v>
                </c:pt>
                <c:pt idx="1">
                  <c:v>26</c:v>
                </c:pt>
                <c:pt idx="2">
                  <c:v>23</c:v>
                </c:pt>
                <c:pt idx="3">
                  <c:v>20</c:v>
                </c:pt>
                <c:pt idx="4">
                  <c:v>27.47</c:v>
                </c:pt>
                <c:pt idx="5">
                  <c:v>22.8</c:v>
                </c:pt>
                <c:pt idx="6">
                  <c:v>19.73</c:v>
                </c:pt>
                <c:pt idx="7">
                  <c:v>21.17</c:v>
                </c:pt>
                <c:pt idx="8">
                  <c:v>20.100000000000001</c:v>
                </c:pt>
                <c:pt idx="9">
                  <c:v>27</c:v>
                </c:pt>
                <c:pt idx="10">
                  <c:v>22.5</c:v>
                </c:pt>
                <c:pt idx="11">
                  <c:v>20.5</c:v>
                </c:pt>
                <c:pt idx="12">
                  <c:v>20.5</c:v>
                </c:pt>
                <c:pt idx="13">
                  <c:v>19.5</c:v>
                </c:pt>
                <c:pt idx="14">
                  <c:v>21</c:v>
                </c:pt>
                <c:pt idx="15">
                  <c:v>27.8</c:v>
                </c:pt>
                <c:pt idx="16">
                  <c:v>24.8</c:v>
                </c:pt>
                <c:pt idx="17">
                  <c:v>23</c:v>
                </c:pt>
                <c:pt idx="18">
                  <c:v>21.3</c:v>
                </c:pt>
                <c:pt idx="19">
                  <c:v>20.2</c:v>
                </c:pt>
                <c:pt idx="20">
                  <c:v>30.13</c:v>
                </c:pt>
                <c:pt idx="21">
                  <c:v>22.5</c:v>
                </c:pt>
                <c:pt idx="22">
                  <c:v>21.33</c:v>
                </c:pt>
                <c:pt idx="23">
                  <c:v>21.67</c:v>
                </c:pt>
                <c:pt idx="24">
                  <c:v>18.77</c:v>
                </c:pt>
                <c:pt idx="25">
                  <c:v>27.5</c:v>
                </c:pt>
                <c:pt idx="26">
                  <c:v>19</c:v>
                </c:pt>
                <c:pt idx="27">
                  <c:v>18.5</c:v>
                </c:pt>
              </c:numCache>
            </c:numRef>
          </c:xVal>
          <c:yVal>
            <c:numRef>
              <c:f>Sheet1!$F$2:$F$29</c:f>
              <c:numCache>
                <c:formatCode>General</c:formatCode>
                <c:ptCount val="28"/>
                <c:pt idx="0">
                  <c:v>206</c:v>
                </c:pt>
                <c:pt idx="1">
                  <c:v>295</c:v>
                </c:pt>
                <c:pt idx="2">
                  <c:v>240</c:v>
                </c:pt>
                <c:pt idx="3">
                  <c:v>133</c:v>
                </c:pt>
                <c:pt idx="4">
                  <c:v>294.67</c:v>
                </c:pt>
                <c:pt idx="5">
                  <c:v>177.33</c:v>
                </c:pt>
                <c:pt idx="6">
                  <c:v>126.33</c:v>
                </c:pt>
                <c:pt idx="7">
                  <c:v>142.33000000000001</c:v>
                </c:pt>
                <c:pt idx="8">
                  <c:v>131</c:v>
                </c:pt>
                <c:pt idx="9">
                  <c:v>317</c:v>
                </c:pt>
                <c:pt idx="10">
                  <c:v>182</c:v>
                </c:pt>
                <c:pt idx="11">
                  <c:v>126</c:v>
                </c:pt>
                <c:pt idx="12">
                  <c:v>136</c:v>
                </c:pt>
                <c:pt idx="13">
                  <c:v>134</c:v>
                </c:pt>
                <c:pt idx="14">
                  <c:v>120</c:v>
                </c:pt>
                <c:pt idx="15">
                  <c:v>318</c:v>
                </c:pt>
                <c:pt idx="16">
                  <c:v>217</c:v>
                </c:pt>
                <c:pt idx="17">
                  <c:v>186</c:v>
                </c:pt>
                <c:pt idx="18">
                  <c:v>141</c:v>
                </c:pt>
                <c:pt idx="19">
                  <c:v>166</c:v>
                </c:pt>
                <c:pt idx="20">
                  <c:v>365</c:v>
                </c:pt>
                <c:pt idx="21">
                  <c:v>172</c:v>
                </c:pt>
                <c:pt idx="22">
                  <c:v>152</c:v>
                </c:pt>
                <c:pt idx="23">
                  <c:v>148</c:v>
                </c:pt>
                <c:pt idx="24">
                  <c:v>93</c:v>
                </c:pt>
                <c:pt idx="25">
                  <c:v>314</c:v>
                </c:pt>
                <c:pt idx="26">
                  <c:v>112</c:v>
                </c:pt>
                <c:pt idx="27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DC-6D47-9872-037E7AD42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000903"/>
        <c:axId val="1461581321"/>
      </c:scatterChart>
      <c:valAx>
        <c:axId val="18690009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1581321"/>
        <c:crosses val="autoZero"/>
        <c:crossBetween val="midCat"/>
      </c:valAx>
      <c:valAx>
        <c:axId val="1461581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9000903"/>
        <c:crosses val="autoZero"/>
        <c:crossBetween val="midCat"/>
        <c:majorUnit val="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weight vs pole to pole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weight_in_gm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Sheet1!$E$2:$E$29</c:f>
              <c:numCache>
                <c:formatCode>General</c:formatCode>
                <c:ptCount val="28"/>
                <c:pt idx="0">
                  <c:v>24</c:v>
                </c:pt>
                <c:pt idx="1">
                  <c:v>22</c:v>
                </c:pt>
                <c:pt idx="2">
                  <c:v>22</c:v>
                </c:pt>
                <c:pt idx="3">
                  <c:v>21</c:v>
                </c:pt>
                <c:pt idx="4">
                  <c:v>26.67</c:v>
                </c:pt>
                <c:pt idx="5">
                  <c:v>22.1</c:v>
                </c:pt>
                <c:pt idx="6">
                  <c:v>20.07</c:v>
                </c:pt>
                <c:pt idx="7">
                  <c:v>20.73</c:v>
                </c:pt>
                <c:pt idx="8">
                  <c:v>19.47</c:v>
                </c:pt>
                <c:pt idx="9">
                  <c:v>27</c:v>
                </c:pt>
                <c:pt idx="10">
                  <c:v>22.7</c:v>
                </c:pt>
                <c:pt idx="11">
                  <c:v>20.3</c:v>
                </c:pt>
                <c:pt idx="12">
                  <c:v>20</c:v>
                </c:pt>
                <c:pt idx="13">
                  <c:v>20</c:v>
                </c:pt>
                <c:pt idx="14">
                  <c:v>22</c:v>
                </c:pt>
                <c:pt idx="15">
                  <c:v>27.5</c:v>
                </c:pt>
                <c:pt idx="16">
                  <c:v>23</c:v>
                </c:pt>
                <c:pt idx="17">
                  <c:v>23.2</c:v>
                </c:pt>
                <c:pt idx="18">
                  <c:v>20</c:v>
                </c:pt>
                <c:pt idx="19">
                  <c:v>21.1</c:v>
                </c:pt>
                <c:pt idx="20">
                  <c:v>29.33</c:v>
                </c:pt>
                <c:pt idx="21">
                  <c:v>22.37</c:v>
                </c:pt>
                <c:pt idx="22">
                  <c:v>21.23</c:v>
                </c:pt>
                <c:pt idx="23">
                  <c:v>21.13</c:v>
                </c:pt>
                <c:pt idx="24">
                  <c:v>18</c:v>
                </c:pt>
                <c:pt idx="25">
                  <c:v>27.5</c:v>
                </c:pt>
                <c:pt idx="26">
                  <c:v>20</c:v>
                </c:pt>
                <c:pt idx="27">
                  <c:v>18</c:v>
                </c:pt>
              </c:numCache>
            </c:numRef>
          </c:xVal>
          <c:yVal>
            <c:numRef>
              <c:f>Sheet1!$F$2:$F$29</c:f>
              <c:numCache>
                <c:formatCode>General</c:formatCode>
                <c:ptCount val="28"/>
                <c:pt idx="0">
                  <c:v>206</c:v>
                </c:pt>
                <c:pt idx="1">
                  <c:v>295</c:v>
                </c:pt>
                <c:pt idx="2">
                  <c:v>240</c:v>
                </c:pt>
                <c:pt idx="3">
                  <c:v>133</c:v>
                </c:pt>
                <c:pt idx="4">
                  <c:v>294.67</c:v>
                </c:pt>
                <c:pt idx="5">
                  <c:v>177.33</c:v>
                </c:pt>
                <c:pt idx="6">
                  <c:v>126.33</c:v>
                </c:pt>
                <c:pt idx="7">
                  <c:v>142.33000000000001</c:v>
                </c:pt>
                <c:pt idx="8">
                  <c:v>131</c:v>
                </c:pt>
                <c:pt idx="9">
                  <c:v>317</c:v>
                </c:pt>
                <c:pt idx="10">
                  <c:v>182</c:v>
                </c:pt>
                <c:pt idx="11">
                  <c:v>126</c:v>
                </c:pt>
                <c:pt idx="12">
                  <c:v>136</c:v>
                </c:pt>
                <c:pt idx="13">
                  <c:v>134</c:v>
                </c:pt>
                <c:pt idx="14">
                  <c:v>120</c:v>
                </c:pt>
                <c:pt idx="15">
                  <c:v>318</c:v>
                </c:pt>
                <c:pt idx="16">
                  <c:v>217</c:v>
                </c:pt>
                <c:pt idx="17">
                  <c:v>186</c:v>
                </c:pt>
                <c:pt idx="18">
                  <c:v>141</c:v>
                </c:pt>
                <c:pt idx="19">
                  <c:v>166</c:v>
                </c:pt>
                <c:pt idx="20">
                  <c:v>365</c:v>
                </c:pt>
                <c:pt idx="21">
                  <c:v>172</c:v>
                </c:pt>
                <c:pt idx="22">
                  <c:v>152</c:v>
                </c:pt>
                <c:pt idx="23">
                  <c:v>148</c:v>
                </c:pt>
                <c:pt idx="24">
                  <c:v>93</c:v>
                </c:pt>
                <c:pt idx="25">
                  <c:v>314</c:v>
                </c:pt>
                <c:pt idx="26">
                  <c:v>112</c:v>
                </c:pt>
                <c:pt idx="27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72-9844-A960-FE3CE81A4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000903"/>
        <c:axId val="1461581321"/>
      </c:scatterChart>
      <c:valAx>
        <c:axId val="18690009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1581321"/>
        <c:crosses val="autoZero"/>
        <c:crossBetween val="midCat"/>
      </c:valAx>
      <c:valAx>
        <c:axId val="1461581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9000903"/>
        <c:crosses val="autoZero"/>
        <c:crossBetween val="midCat"/>
        <c:majorUnit val="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weight vs Volume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linear_model!$F$4</c:f>
              <c:strCache>
                <c:ptCount val="1"/>
                <c:pt idx="0">
                  <c:v>weight_in_gm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linear_model!$G$5:$G$32</c:f>
              <c:numCache>
                <c:formatCode>General</c:formatCode>
                <c:ptCount val="28"/>
                <c:pt idx="0">
                  <c:v>280</c:v>
                </c:pt>
                <c:pt idx="1">
                  <c:v>350</c:v>
                </c:pt>
                <c:pt idx="2">
                  <c:v>200</c:v>
                </c:pt>
                <c:pt idx="3">
                  <c:v>170</c:v>
                </c:pt>
                <c:pt idx="4">
                  <c:v>393.33</c:v>
                </c:pt>
                <c:pt idx="5">
                  <c:v>200</c:v>
                </c:pt>
                <c:pt idx="6">
                  <c:v>121.67</c:v>
                </c:pt>
                <c:pt idx="7">
                  <c:v>171.67</c:v>
                </c:pt>
                <c:pt idx="8">
                  <c:v>118.33</c:v>
                </c:pt>
                <c:pt idx="9">
                  <c:v>315</c:v>
                </c:pt>
                <c:pt idx="10">
                  <c:v>195</c:v>
                </c:pt>
                <c:pt idx="11">
                  <c:v>120</c:v>
                </c:pt>
                <c:pt idx="12">
                  <c:v>125</c:v>
                </c:pt>
                <c:pt idx="13">
                  <c:v>190</c:v>
                </c:pt>
                <c:pt idx="14">
                  <c:v>183</c:v>
                </c:pt>
                <c:pt idx="15">
                  <c:v>325</c:v>
                </c:pt>
                <c:pt idx="16">
                  <c:v>240</c:v>
                </c:pt>
                <c:pt idx="17">
                  <c:v>200</c:v>
                </c:pt>
                <c:pt idx="18">
                  <c:v>150</c:v>
                </c:pt>
                <c:pt idx="19">
                  <c:v>180</c:v>
                </c:pt>
                <c:pt idx="20">
                  <c:v>400</c:v>
                </c:pt>
                <c:pt idx="21">
                  <c:v>175</c:v>
                </c:pt>
                <c:pt idx="22">
                  <c:v>170</c:v>
                </c:pt>
                <c:pt idx="23">
                  <c:v>140</c:v>
                </c:pt>
                <c:pt idx="24">
                  <c:v>100</c:v>
                </c:pt>
                <c:pt idx="25">
                  <c:v>350</c:v>
                </c:pt>
                <c:pt idx="26">
                  <c:v>120</c:v>
                </c:pt>
                <c:pt idx="27">
                  <c:v>100</c:v>
                </c:pt>
              </c:numCache>
            </c:numRef>
          </c:xVal>
          <c:yVal>
            <c:numRef>
              <c:f>linear_model!$F$5:$F$32</c:f>
              <c:numCache>
                <c:formatCode>General</c:formatCode>
                <c:ptCount val="28"/>
                <c:pt idx="0">
                  <c:v>206</c:v>
                </c:pt>
                <c:pt idx="1">
                  <c:v>295</c:v>
                </c:pt>
                <c:pt idx="2">
                  <c:v>240</c:v>
                </c:pt>
                <c:pt idx="3">
                  <c:v>133</c:v>
                </c:pt>
                <c:pt idx="4">
                  <c:v>294.67</c:v>
                </c:pt>
                <c:pt idx="5">
                  <c:v>177.33</c:v>
                </c:pt>
                <c:pt idx="6">
                  <c:v>126.33</c:v>
                </c:pt>
                <c:pt idx="7">
                  <c:v>142.33000000000001</c:v>
                </c:pt>
                <c:pt idx="8">
                  <c:v>131</c:v>
                </c:pt>
                <c:pt idx="9">
                  <c:v>317</c:v>
                </c:pt>
                <c:pt idx="10">
                  <c:v>182</c:v>
                </c:pt>
                <c:pt idx="11">
                  <c:v>126</c:v>
                </c:pt>
                <c:pt idx="12">
                  <c:v>136</c:v>
                </c:pt>
                <c:pt idx="13">
                  <c:v>134</c:v>
                </c:pt>
                <c:pt idx="14">
                  <c:v>120</c:v>
                </c:pt>
                <c:pt idx="15">
                  <c:v>318</c:v>
                </c:pt>
                <c:pt idx="16">
                  <c:v>217</c:v>
                </c:pt>
                <c:pt idx="17">
                  <c:v>186</c:v>
                </c:pt>
                <c:pt idx="18">
                  <c:v>141</c:v>
                </c:pt>
                <c:pt idx="19">
                  <c:v>166</c:v>
                </c:pt>
                <c:pt idx="20">
                  <c:v>365</c:v>
                </c:pt>
                <c:pt idx="21">
                  <c:v>172</c:v>
                </c:pt>
                <c:pt idx="22">
                  <c:v>152</c:v>
                </c:pt>
                <c:pt idx="23">
                  <c:v>148</c:v>
                </c:pt>
                <c:pt idx="24">
                  <c:v>93</c:v>
                </c:pt>
                <c:pt idx="25">
                  <c:v>314</c:v>
                </c:pt>
                <c:pt idx="26">
                  <c:v>112</c:v>
                </c:pt>
                <c:pt idx="27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66-284D-A2D9-B1F3C2064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000903"/>
        <c:axId val="1461581321"/>
      </c:scatterChart>
      <c:valAx>
        <c:axId val="18690009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1581321"/>
        <c:crosses val="autoZero"/>
        <c:crossBetween val="midCat"/>
      </c:valAx>
      <c:valAx>
        <c:axId val="1461581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9000903"/>
        <c:crosses val="autoZero"/>
        <c:crossBetween val="midCat"/>
        <c:majorUnit val="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weight vs Volume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linear_model!$F$4</c:f>
              <c:strCache>
                <c:ptCount val="1"/>
                <c:pt idx="0">
                  <c:v>weight_in_gm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linear_model!$G$5:$G$32</c:f>
              <c:numCache>
                <c:formatCode>General</c:formatCode>
                <c:ptCount val="28"/>
                <c:pt idx="0">
                  <c:v>280</c:v>
                </c:pt>
                <c:pt idx="1">
                  <c:v>350</c:v>
                </c:pt>
                <c:pt idx="2">
                  <c:v>200</c:v>
                </c:pt>
                <c:pt idx="3">
                  <c:v>170</c:v>
                </c:pt>
                <c:pt idx="4">
                  <c:v>393.33</c:v>
                </c:pt>
                <c:pt idx="5">
                  <c:v>200</c:v>
                </c:pt>
                <c:pt idx="6">
                  <c:v>121.67</c:v>
                </c:pt>
                <c:pt idx="7">
                  <c:v>171.67</c:v>
                </c:pt>
                <c:pt idx="8">
                  <c:v>118.33</c:v>
                </c:pt>
                <c:pt idx="9">
                  <c:v>315</c:v>
                </c:pt>
                <c:pt idx="10">
                  <c:v>195</c:v>
                </c:pt>
                <c:pt idx="11">
                  <c:v>120</c:v>
                </c:pt>
                <c:pt idx="12">
                  <c:v>125</c:v>
                </c:pt>
                <c:pt idx="13">
                  <c:v>190</c:v>
                </c:pt>
                <c:pt idx="14">
                  <c:v>183</c:v>
                </c:pt>
                <c:pt idx="15">
                  <c:v>325</c:v>
                </c:pt>
                <c:pt idx="16">
                  <c:v>240</c:v>
                </c:pt>
                <c:pt idx="17">
                  <c:v>200</c:v>
                </c:pt>
                <c:pt idx="18">
                  <c:v>150</c:v>
                </c:pt>
                <c:pt idx="19">
                  <c:v>180</c:v>
                </c:pt>
                <c:pt idx="20">
                  <c:v>400</c:v>
                </c:pt>
                <c:pt idx="21">
                  <c:v>175</c:v>
                </c:pt>
                <c:pt idx="22">
                  <c:v>170</c:v>
                </c:pt>
                <c:pt idx="23">
                  <c:v>140</c:v>
                </c:pt>
                <c:pt idx="24">
                  <c:v>100</c:v>
                </c:pt>
                <c:pt idx="25">
                  <c:v>350</c:v>
                </c:pt>
                <c:pt idx="26">
                  <c:v>120</c:v>
                </c:pt>
                <c:pt idx="27">
                  <c:v>100</c:v>
                </c:pt>
              </c:numCache>
            </c:numRef>
          </c:xVal>
          <c:yVal>
            <c:numRef>
              <c:f>linear_model!$F$5:$F$32</c:f>
              <c:numCache>
                <c:formatCode>General</c:formatCode>
                <c:ptCount val="28"/>
                <c:pt idx="0">
                  <c:v>206</c:v>
                </c:pt>
                <c:pt idx="1">
                  <c:v>295</c:v>
                </c:pt>
                <c:pt idx="2">
                  <c:v>240</c:v>
                </c:pt>
                <c:pt idx="3">
                  <c:v>133</c:v>
                </c:pt>
                <c:pt idx="4">
                  <c:v>294.67</c:v>
                </c:pt>
                <c:pt idx="5">
                  <c:v>177.33</c:v>
                </c:pt>
                <c:pt idx="6">
                  <c:v>126.33</c:v>
                </c:pt>
                <c:pt idx="7">
                  <c:v>142.33000000000001</c:v>
                </c:pt>
                <c:pt idx="8">
                  <c:v>131</c:v>
                </c:pt>
                <c:pt idx="9">
                  <c:v>317</c:v>
                </c:pt>
                <c:pt idx="10">
                  <c:v>182</c:v>
                </c:pt>
                <c:pt idx="11">
                  <c:v>126</c:v>
                </c:pt>
                <c:pt idx="12">
                  <c:v>136</c:v>
                </c:pt>
                <c:pt idx="13">
                  <c:v>134</c:v>
                </c:pt>
                <c:pt idx="14">
                  <c:v>120</c:v>
                </c:pt>
                <c:pt idx="15">
                  <c:v>318</c:v>
                </c:pt>
                <c:pt idx="16">
                  <c:v>217</c:v>
                </c:pt>
                <c:pt idx="17">
                  <c:v>186</c:v>
                </c:pt>
                <c:pt idx="18">
                  <c:v>141</c:v>
                </c:pt>
                <c:pt idx="19">
                  <c:v>166</c:v>
                </c:pt>
                <c:pt idx="20">
                  <c:v>365</c:v>
                </c:pt>
                <c:pt idx="21">
                  <c:v>172</c:v>
                </c:pt>
                <c:pt idx="22">
                  <c:v>152</c:v>
                </c:pt>
                <c:pt idx="23">
                  <c:v>148</c:v>
                </c:pt>
                <c:pt idx="24">
                  <c:v>93</c:v>
                </c:pt>
                <c:pt idx="25">
                  <c:v>314</c:v>
                </c:pt>
                <c:pt idx="26">
                  <c:v>112</c:v>
                </c:pt>
                <c:pt idx="27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6-F341-909A-08D3CF8BD022}"/>
            </c:ext>
          </c:extLst>
        </c:ser>
        <c:ser>
          <c:idx val="1"/>
          <c:order val="1"/>
          <c:tx>
            <c:strRef>
              <c:f>linear_model!$I$4</c:f>
              <c:strCache>
                <c:ptCount val="1"/>
                <c:pt idx="0">
                  <c:v>lm1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chemeClr val="bg1">
                    <a:lumMod val="85000"/>
                  </a:schemeClr>
                </a:solidFill>
              </a:ln>
            </c:spPr>
          </c:marker>
          <c:xVal>
            <c:numRef>
              <c:f>linear_model!$G$5:$G$32</c:f>
              <c:numCache>
                <c:formatCode>General</c:formatCode>
                <c:ptCount val="28"/>
                <c:pt idx="0">
                  <c:v>280</c:v>
                </c:pt>
                <c:pt idx="1">
                  <c:v>350</c:v>
                </c:pt>
                <c:pt idx="2">
                  <c:v>200</c:v>
                </c:pt>
                <c:pt idx="3">
                  <c:v>170</c:v>
                </c:pt>
                <c:pt idx="4">
                  <c:v>393.33</c:v>
                </c:pt>
                <c:pt idx="5">
                  <c:v>200</c:v>
                </c:pt>
                <c:pt idx="6">
                  <c:v>121.67</c:v>
                </c:pt>
                <c:pt idx="7">
                  <c:v>171.67</c:v>
                </c:pt>
                <c:pt idx="8">
                  <c:v>118.33</c:v>
                </c:pt>
                <c:pt idx="9">
                  <c:v>315</c:v>
                </c:pt>
                <c:pt idx="10">
                  <c:v>195</c:v>
                </c:pt>
                <c:pt idx="11">
                  <c:v>120</c:v>
                </c:pt>
                <c:pt idx="12">
                  <c:v>125</c:v>
                </c:pt>
                <c:pt idx="13">
                  <c:v>190</c:v>
                </c:pt>
                <c:pt idx="14">
                  <c:v>183</c:v>
                </c:pt>
                <c:pt idx="15">
                  <c:v>325</c:v>
                </c:pt>
                <c:pt idx="16">
                  <c:v>240</c:v>
                </c:pt>
                <c:pt idx="17">
                  <c:v>200</c:v>
                </c:pt>
                <c:pt idx="18">
                  <c:v>150</c:v>
                </c:pt>
                <c:pt idx="19">
                  <c:v>180</c:v>
                </c:pt>
                <c:pt idx="20">
                  <c:v>400</c:v>
                </c:pt>
                <c:pt idx="21">
                  <c:v>175</c:v>
                </c:pt>
                <c:pt idx="22">
                  <c:v>170</c:v>
                </c:pt>
                <c:pt idx="23">
                  <c:v>140</c:v>
                </c:pt>
                <c:pt idx="24">
                  <c:v>100</c:v>
                </c:pt>
                <c:pt idx="25">
                  <c:v>350</c:v>
                </c:pt>
                <c:pt idx="26">
                  <c:v>120</c:v>
                </c:pt>
                <c:pt idx="27">
                  <c:v>100</c:v>
                </c:pt>
              </c:numCache>
            </c:numRef>
          </c:xVal>
          <c:yVal>
            <c:numRef>
              <c:f>linear_model!$I$5:$I$32</c:f>
              <c:numCache>
                <c:formatCode>0.00</c:formatCode>
                <c:ptCount val="28"/>
                <c:pt idx="0">
                  <c:v>247.20400000000001</c:v>
                </c:pt>
                <c:pt idx="1">
                  <c:v>304.50599999999997</c:v>
                </c:pt>
                <c:pt idx="2">
                  <c:v>181.71600000000001</c:v>
                </c:pt>
                <c:pt idx="3">
                  <c:v>157.15800000000002</c:v>
                </c:pt>
                <c:pt idx="4">
                  <c:v>339.97593799999999</c:v>
                </c:pt>
                <c:pt idx="5">
                  <c:v>181.71600000000001</c:v>
                </c:pt>
                <c:pt idx="6">
                  <c:v>117.595062</c:v>
                </c:pt>
                <c:pt idx="7">
                  <c:v>158.52506199999999</c:v>
                </c:pt>
                <c:pt idx="8">
                  <c:v>114.86093799999999</c:v>
                </c:pt>
                <c:pt idx="9">
                  <c:v>275.85499999999996</c:v>
                </c:pt>
                <c:pt idx="10">
                  <c:v>177.62300000000002</c:v>
                </c:pt>
                <c:pt idx="11">
                  <c:v>116.22799999999999</c:v>
                </c:pt>
                <c:pt idx="12">
                  <c:v>120.321</c:v>
                </c:pt>
                <c:pt idx="13">
                  <c:v>173.53</c:v>
                </c:pt>
                <c:pt idx="14">
                  <c:v>167.7998</c:v>
                </c:pt>
                <c:pt idx="15">
                  <c:v>284.041</c:v>
                </c:pt>
                <c:pt idx="16">
                  <c:v>214.46</c:v>
                </c:pt>
                <c:pt idx="17">
                  <c:v>181.71600000000001</c:v>
                </c:pt>
                <c:pt idx="18">
                  <c:v>140.786</c:v>
                </c:pt>
                <c:pt idx="19">
                  <c:v>165.34400000000002</c:v>
                </c:pt>
                <c:pt idx="20">
                  <c:v>345.43599999999998</c:v>
                </c:pt>
                <c:pt idx="21">
                  <c:v>161.251</c:v>
                </c:pt>
                <c:pt idx="22">
                  <c:v>157.15800000000002</c:v>
                </c:pt>
                <c:pt idx="23">
                  <c:v>132.6</c:v>
                </c:pt>
                <c:pt idx="24">
                  <c:v>99.855999999999995</c:v>
                </c:pt>
                <c:pt idx="25">
                  <c:v>304.50599999999997</c:v>
                </c:pt>
                <c:pt idx="26">
                  <c:v>116.22799999999999</c:v>
                </c:pt>
                <c:pt idx="27">
                  <c:v>99.855999999999995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26-F341-909A-08D3CF8B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000903"/>
        <c:axId val="1461581321"/>
      </c:scatterChart>
      <c:valAx>
        <c:axId val="18690009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1581321"/>
        <c:crosses val="autoZero"/>
        <c:crossBetween val="midCat"/>
      </c:valAx>
      <c:valAx>
        <c:axId val="1461581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9000903"/>
        <c:crosses val="autoZero"/>
        <c:crossBetween val="midCat"/>
        <c:majorUnit val="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weight vs Volume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linear_model!$F$4</c:f>
              <c:strCache>
                <c:ptCount val="1"/>
                <c:pt idx="0">
                  <c:v>weight_in_gm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linear_model!$G$5:$G$32</c:f>
              <c:numCache>
                <c:formatCode>General</c:formatCode>
                <c:ptCount val="28"/>
                <c:pt idx="0">
                  <c:v>280</c:v>
                </c:pt>
                <c:pt idx="1">
                  <c:v>350</c:v>
                </c:pt>
                <c:pt idx="2">
                  <c:v>200</c:v>
                </c:pt>
                <c:pt idx="3">
                  <c:v>170</c:v>
                </c:pt>
                <c:pt idx="4">
                  <c:v>393.33</c:v>
                </c:pt>
                <c:pt idx="5">
                  <c:v>200</c:v>
                </c:pt>
                <c:pt idx="6">
                  <c:v>121.67</c:v>
                </c:pt>
                <c:pt idx="7">
                  <c:v>171.67</c:v>
                </c:pt>
                <c:pt idx="8">
                  <c:v>118.33</c:v>
                </c:pt>
                <c:pt idx="9">
                  <c:v>315</c:v>
                </c:pt>
                <c:pt idx="10">
                  <c:v>195</c:v>
                </c:pt>
                <c:pt idx="11">
                  <c:v>120</c:v>
                </c:pt>
                <c:pt idx="12">
                  <c:v>125</c:v>
                </c:pt>
                <c:pt idx="13">
                  <c:v>190</c:v>
                </c:pt>
                <c:pt idx="14">
                  <c:v>183</c:v>
                </c:pt>
                <c:pt idx="15">
                  <c:v>325</c:v>
                </c:pt>
                <c:pt idx="16">
                  <c:v>240</c:v>
                </c:pt>
                <c:pt idx="17">
                  <c:v>200</c:v>
                </c:pt>
                <c:pt idx="18">
                  <c:v>150</c:v>
                </c:pt>
                <c:pt idx="19">
                  <c:v>180</c:v>
                </c:pt>
                <c:pt idx="20">
                  <c:v>400</c:v>
                </c:pt>
                <c:pt idx="21">
                  <c:v>175</c:v>
                </c:pt>
                <c:pt idx="22">
                  <c:v>170</c:v>
                </c:pt>
                <c:pt idx="23">
                  <c:v>140</c:v>
                </c:pt>
                <c:pt idx="24">
                  <c:v>100</c:v>
                </c:pt>
                <c:pt idx="25">
                  <c:v>350</c:v>
                </c:pt>
                <c:pt idx="26">
                  <c:v>120</c:v>
                </c:pt>
                <c:pt idx="27">
                  <c:v>100</c:v>
                </c:pt>
              </c:numCache>
            </c:numRef>
          </c:xVal>
          <c:yVal>
            <c:numRef>
              <c:f>linear_model!$F$5:$F$32</c:f>
              <c:numCache>
                <c:formatCode>General</c:formatCode>
                <c:ptCount val="28"/>
                <c:pt idx="0">
                  <c:v>206</c:v>
                </c:pt>
                <c:pt idx="1">
                  <c:v>295</c:v>
                </c:pt>
                <c:pt idx="2">
                  <c:v>240</c:v>
                </c:pt>
                <c:pt idx="3">
                  <c:v>133</c:v>
                </c:pt>
                <c:pt idx="4">
                  <c:v>294.67</c:v>
                </c:pt>
                <c:pt idx="5">
                  <c:v>177.33</c:v>
                </c:pt>
                <c:pt idx="6">
                  <c:v>126.33</c:v>
                </c:pt>
                <c:pt idx="7">
                  <c:v>142.33000000000001</c:v>
                </c:pt>
                <c:pt idx="8">
                  <c:v>131</c:v>
                </c:pt>
                <c:pt idx="9">
                  <c:v>317</c:v>
                </c:pt>
                <c:pt idx="10">
                  <c:v>182</c:v>
                </c:pt>
                <c:pt idx="11">
                  <c:v>126</c:v>
                </c:pt>
                <c:pt idx="12">
                  <c:v>136</c:v>
                </c:pt>
                <c:pt idx="13">
                  <c:v>134</c:v>
                </c:pt>
                <c:pt idx="14">
                  <c:v>120</c:v>
                </c:pt>
                <c:pt idx="15">
                  <c:v>318</c:v>
                </c:pt>
                <c:pt idx="16">
                  <c:v>217</c:v>
                </c:pt>
                <c:pt idx="17">
                  <c:v>186</c:v>
                </c:pt>
                <c:pt idx="18">
                  <c:v>141</c:v>
                </c:pt>
                <c:pt idx="19">
                  <c:v>166</c:v>
                </c:pt>
                <c:pt idx="20">
                  <c:v>365</c:v>
                </c:pt>
                <c:pt idx="21">
                  <c:v>172</c:v>
                </c:pt>
                <c:pt idx="22">
                  <c:v>152</c:v>
                </c:pt>
                <c:pt idx="23">
                  <c:v>148</c:v>
                </c:pt>
                <c:pt idx="24">
                  <c:v>93</c:v>
                </c:pt>
                <c:pt idx="25">
                  <c:v>314</c:v>
                </c:pt>
                <c:pt idx="26">
                  <c:v>112</c:v>
                </c:pt>
                <c:pt idx="27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F1-4C4A-B315-5E556F49AA35}"/>
            </c:ext>
          </c:extLst>
        </c:ser>
        <c:ser>
          <c:idx val="1"/>
          <c:order val="1"/>
          <c:tx>
            <c:strRef>
              <c:f>linear_model!$K$4</c:f>
              <c:strCache>
                <c:ptCount val="1"/>
                <c:pt idx="0">
                  <c:v>lm2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7030A0"/>
              </a:solidFill>
              <a:ln>
                <a:solidFill>
                  <a:schemeClr val="bg1">
                    <a:lumMod val="85000"/>
                  </a:schemeClr>
                </a:solidFill>
              </a:ln>
            </c:spPr>
          </c:marker>
          <c:xVal>
            <c:numRef>
              <c:f>linear_model!$G$5:$G$32</c:f>
              <c:numCache>
                <c:formatCode>General</c:formatCode>
                <c:ptCount val="28"/>
                <c:pt idx="0">
                  <c:v>280</c:v>
                </c:pt>
                <c:pt idx="1">
                  <c:v>350</c:v>
                </c:pt>
                <c:pt idx="2">
                  <c:v>200</c:v>
                </c:pt>
                <c:pt idx="3">
                  <c:v>170</c:v>
                </c:pt>
                <c:pt idx="4">
                  <c:v>393.33</c:v>
                </c:pt>
                <c:pt idx="5">
                  <c:v>200</c:v>
                </c:pt>
                <c:pt idx="6">
                  <c:v>121.67</c:v>
                </c:pt>
                <c:pt idx="7">
                  <c:v>171.67</c:v>
                </c:pt>
                <c:pt idx="8">
                  <c:v>118.33</c:v>
                </c:pt>
                <c:pt idx="9">
                  <c:v>315</c:v>
                </c:pt>
                <c:pt idx="10">
                  <c:v>195</c:v>
                </c:pt>
                <c:pt idx="11">
                  <c:v>120</c:v>
                </c:pt>
                <c:pt idx="12">
                  <c:v>125</c:v>
                </c:pt>
                <c:pt idx="13">
                  <c:v>190</c:v>
                </c:pt>
                <c:pt idx="14">
                  <c:v>183</c:v>
                </c:pt>
                <c:pt idx="15">
                  <c:v>325</c:v>
                </c:pt>
                <c:pt idx="16">
                  <c:v>240</c:v>
                </c:pt>
                <c:pt idx="17">
                  <c:v>200</c:v>
                </c:pt>
                <c:pt idx="18">
                  <c:v>150</c:v>
                </c:pt>
                <c:pt idx="19">
                  <c:v>180</c:v>
                </c:pt>
                <c:pt idx="20">
                  <c:v>400</c:v>
                </c:pt>
                <c:pt idx="21">
                  <c:v>175</c:v>
                </c:pt>
                <c:pt idx="22">
                  <c:v>170</c:v>
                </c:pt>
                <c:pt idx="23">
                  <c:v>140</c:v>
                </c:pt>
                <c:pt idx="24">
                  <c:v>100</c:v>
                </c:pt>
                <c:pt idx="25">
                  <c:v>350</c:v>
                </c:pt>
                <c:pt idx="26">
                  <c:v>120</c:v>
                </c:pt>
                <c:pt idx="27">
                  <c:v>100</c:v>
                </c:pt>
              </c:numCache>
            </c:numRef>
          </c:xVal>
          <c:yVal>
            <c:numRef>
              <c:f>linear_model!$K$5:$K$32</c:f>
              <c:numCache>
                <c:formatCode>0.00</c:formatCode>
                <c:ptCount val="28"/>
                <c:pt idx="0">
                  <c:v>141.59800000000001</c:v>
                </c:pt>
                <c:pt idx="1">
                  <c:v>170.249</c:v>
                </c:pt>
                <c:pt idx="2">
                  <c:v>108.854</c:v>
                </c:pt>
                <c:pt idx="3">
                  <c:v>96.575000000000003</c:v>
                </c:pt>
                <c:pt idx="4">
                  <c:v>187.983969</c:v>
                </c:pt>
                <c:pt idx="5">
                  <c:v>108.854</c:v>
                </c:pt>
                <c:pt idx="6">
                  <c:v>76.793531000000002</c:v>
                </c:pt>
                <c:pt idx="7">
                  <c:v>97.258530999999991</c:v>
                </c:pt>
                <c:pt idx="8">
                  <c:v>75.426468999999997</c:v>
                </c:pt>
                <c:pt idx="9">
                  <c:v>155.92349999999999</c:v>
                </c:pt>
                <c:pt idx="10">
                  <c:v>106.8075</c:v>
                </c:pt>
                <c:pt idx="11">
                  <c:v>76.11</c:v>
                </c:pt>
                <c:pt idx="12">
                  <c:v>78.156499999999994</c:v>
                </c:pt>
                <c:pt idx="13">
                  <c:v>104.761</c:v>
                </c:pt>
                <c:pt idx="14">
                  <c:v>101.8959</c:v>
                </c:pt>
                <c:pt idx="15">
                  <c:v>160.01650000000001</c:v>
                </c:pt>
                <c:pt idx="16">
                  <c:v>125.226</c:v>
                </c:pt>
                <c:pt idx="17">
                  <c:v>108.854</c:v>
                </c:pt>
                <c:pt idx="18">
                  <c:v>88.388999999999996</c:v>
                </c:pt>
                <c:pt idx="19">
                  <c:v>100.66800000000001</c:v>
                </c:pt>
                <c:pt idx="20">
                  <c:v>190.714</c:v>
                </c:pt>
                <c:pt idx="21">
                  <c:v>98.621499999999997</c:v>
                </c:pt>
                <c:pt idx="22">
                  <c:v>96.575000000000003</c:v>
                </c:pt>
                <c:pt idx="23">
                  <c:v>84.295999999999992</c:v>
                </c:pt>
                <c:pt idx="24">
                  <c:v>67.923999999999992</c:v>
                </c:pt>
                <c:pt idx="25">
                  <c:v>170.249</c:v>
                </c:pt>
                <c:pt idx="26">
                  <c:v>76.11</c:v>
                </c:pt>
                <c:pt idx="27">
                  <c:v>67.923999999999992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F1-4C4A-B315-5E556F49A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000903"/>
        <c:axId val="1461581321"/>
      </c:scatterChart>
      <c:valAx>
        <c:axId val="18690009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1581321"/>
        <c:crosses val="autoZero"/>
        <c:crossBetween val="midCat"/>
      </c:valAx>
      <c:valAx>
        <c:axId val="1461581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9000903"/>
        <c:crosses val="autoZero"/>
        <c:crossBetween val="midCat"/>
        <c:majorUnit val="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831850</xdr:colOff>
      <xdr:row>0</xdr:row>
      <xdr:rowOff>165101</xdr:rowOff>
    </xdr:from>
    <xdr:ext cx="4146550" cy="24003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16</xdr:row>
      <xdr:rowOff>0</xdr:rowOff>
    </xdr:from>
    <xdr:ext cx="4146550" cy="24003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E3C1E0AC-1992-9A4F-AA13-EE393938B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0</xdr:colOff>
      <xdr:row>16</xdr:row>
      <xdr:rowOff>0</xdr:rowOff>
    </xdr:from>
    <xdr:ext cx="4146550" cy="24003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849FBAA2-B310-AE49-A2D5-AD2B970C4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247650</xdr:colOff>
      <xdr:row>38</xdr:row>
      <xdr:rowOff>25400</xdr:rowOff>
    </xdr:from>
    <xdr:ext cx="6038850" cy="4127499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D28540E7-EA8B-CD4E-890F-2E2B1CD6A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63500</xdr:colOff>
      <xdr:row>2</xdr:row>
      <xdr:rowOff>127000</xdr:rowOff>
    </xdr:from>
    <xdr:ext cx="6210300" cy="426720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CA80928C-9305-EE49-B3F6-2F2ABEBE7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177800</xdr:colOff>
      <xdr:row>24</xdr:row>
      <xdr:rowOff>101600</xdr:rowOff>
    </xdr:from>
    <xdr:ext cx="6210300" cy="426720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870165D-16E4-EF40-9092-B81810FA3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9"/>
  <sheetViews>
    <sheetView topLeftCell="G1" zoomScale="84" workbookViewId="0">
      <selection activeCell="R1" sqref="R1"/>
    </sheetView>
  </sheetViews>
  <sheetFormatPr defaultColWidth="12.6640625" defaultRowHeight="15.75" customHeight="1" x14ac:dyDescent="0.4"/>
  <cols>
    <col min="1" max="1" width="4.33203125" customWidth="1"/>
    <col min="2" max="2" width="12" customWidth="1"/>
    <col min="3" max="3" width="7.83203125" customWidth="1"/>
  </cols>
  <sheetData>
    <row r="1" spans="1:7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4">
      <c r="A2" s="2">
        <v>1</v>
      </c>
      <c r="B2" s="3" t="s">
        <v>11</v>
      </c>
      <c r="C2" s="3">
        <v>1</v>
      </c>
      <c r="D2" s="3">
        <v>23.7</v>
      </c>
      <c r="E2" s="3">
        <v>24</v>
      </c>
      <c r="F2" s="3">
        <v>206</v>
      </c>
      <c r="G2" s="3">
        <v>280</v>
      </c>
    </row>
    <row r="3" spans="1:7" ht="15.75" customHeight="1" x14ac:dyDescent="0.4">
      <c r="A3" s="2">
        <v>2</v>
      </c>
      <c r="B3" s="3" t="s">
        <v>11</v>
      </c>
      <c r="C3" s="3">
        <v>2</v>
      </c>
      <c r="D3" s="3">
        <v>26</v>
      </c>
      <c r="E3" s="3">
        <v>22</v>
      </c>
      <c r="F3" s="3">
        <v>295</v>
      </c>
      <c r="G3" s="3">
        <v>350</v>
      </c>
    </row>
    <row r="4" spans="1:7" ht="15.75" customHeight="1" x14ac:dyDescent="0.4">
      <c r="A4" s="2">
        <v>3</v>
      </c>
      <c r="B4" s="3" t="s">
        <v>11</v>
      </c>
      <c r="C4" s="3">
        <v>3</v>
      </c>
      <c r="D4" s="3">
        <v>23</v>
      </c>
      <c r="E4" s="3">
        <v>22</v>
      </c>
      <c r="F4" s="3">
        <v>240</v>
      </c>
      <c r="G4" s="3">
        <v>200</v>
      </c>
    </row>
    <row r="5" spans="1:7" ht="15.75" customHeight="1" x14ac:dyDescent="0.4">
      <c r="A5" s="2">
        <v>4</v>
      </c>
      <c r="B5" s="3" t="s">
        <v>11</v>
      </c>
      <c r="C5" s="3">
        <v>4</v>
      </c>
      <c r="D5" s="3">
        <v>20</v>
      </c>
      <c r="E5" s="3">
        <v>21</v>
      </c>
      <c r="F5" s="3">
        <v>133</v>
      </c>
      <c r="G5" s="3">
        <v>170</v>
      </c>
    </row>
    <row r="6" spans="1:7" ht="15.75" customHeight="1" x14ac:dyDescent="0.4">
      <c r="A6" s="2">
        <v>5</v>
      </c>
      <c r="B6" s="2" t="s">
        <v>10</v>
      </c>
      <c r="C6" s="2">
        <v>1</v>
      </c>
      <c r="D6" s="2">
        <v>27.47</v>
      </c>
      <c r="E6" s="2">
        <v>26.67</v>
      </c>
      <c r="F6" s="2">
        <v>294.67</v>
      </c>
      <c r="G6" s="2">
        <v>393.33</v>
      </c>
    </row>
    <row r="7" spans="1:7" ht="15.75" customHeight="1" x14ac:dyDescent="0.4">
      <c r="A7" s="2">
        <v>6</v>
      </c>
      <c r="B7" s="2" t="s">
        <v>10</v>
      </c>
      <c r="C7" s="2">
        <v>2</v>
      </c>
      <c r="D7" s="2">
        <v>22.8</v>
      </c>
      <c r="E7" s="2">
        <v>22.1</v>
      </c>
      <c r="F7" s="2">
        <v>177.33</v>
      </c>
      <c r="G7" s="2">
        <v>200</v>
      </c>
    </row>
    <row r="8" spans="1:7" ht="15.75" customHeight="1" x14ac:dyDescent="0.4">
      <c r="A8" s="2">
        <v>7</v>
      </c>
      <c r="B8" s="2" t="s">
        <v>10</v>
      </c>
      <c r="C8" s="2">
        <v>3</v>
      </c>
      <c r="D8" s="2">
        <v>19.73</v>
      </c>
      <c r="E8" s="2">
        <v>20.07</v>
      </c>
      <c r="F8" s="2">
        <v>126.33</v>
      </c>
      <c r="G8" s="2">
        <v>121.67</v>
      </c>
    </row>
    <row r="9" spans="1:7" ht="15.75" customHeight="1" x14ac:dyDescent="0.4">
      <c r="A9" s="2">
        <v>8</v>
      </c>
      <c r="B9" s="2" t="s">
        <v>10</v>
      </c>
      <c r="C9" s="2">
        <v>4</v>
      </c>
      <c r="D9" s="2">
        <v>21.17</v>
      </c>
      <c r="E9" s="2">
        <v>20.73</v>
      </c>
      <c r="F9" s="2">
        <v>142.33000000000001</v>
      </c>
      <c r="G9" s="2">
        <v>171.67</v>
      </c>
    </row>
    <row r="10" spans="1:7" ht="15.75" customHeight="1" x14ac:dyDescent="0.4">
      <c r="A10" s="2">
        <v>9</v>
      </c>
      <c r="B10" s="2" t="s">
        <v>10</v>
      </c>
      <c r="C10" s="2">
        <v>5</v>
      </c>
      <c r="D10" s="2">
        <v>20.100000000000001</v>
      </c>
      <c r="E10" s="2">
        <v>19.47</v>
      </c>
      <c r="F10" s="2">
        <v>131</v>
      </c>
      <c r="G10" s="2">
        <v>118.33</v>
      </c>
    </row>
    <row r="11" spans="1:7" ht="15.75" customHeight="1" x14ac:dyDescent="0.4">
      <c r="A11" s="2">
        <v>10</v>
      </c>
      <c r="B11" s="2" t="s">
        <v>9</v>
      </c>
      <c r="C11" s="2">
        <v>1</v>
      </c>
      <c r="D11" s="2">
        <v>27</v>
      </c>
      <c r="E11" s="2">
        <v>27</v>
      </c>
      <c r="F11" s="2">
        <v>317</v>
      </c>
      <c r="G11" s="2">
        <v>315</v>
      </c>
    </row>
    <row r="12" spans="1:7" ht="15.75" customHeight="1" x14ac:dyDescent="0.4">
      <c r="A12" s="2">
        <v>11</v>
      </c>
      <c r="B12" s="2" t="s">
        <v>9</v>
      </c>
      <c r="C12" s="2">
        <v>2</v>
      </c>
      <c r="D12" s="2">
        <v>22.5</v>
      </c>
      <c r="E12" s="2">
        <v>22.7</v>
      </c>
      <c r="F12" s="2">
        <v>182</v>
      </c>
      <c r="G12" s="2">
        <v>195</v>
      </c>
    </row>
    <row r="13" spans="1:7" ht="15.75" customHeight="1" x14ac:dyDescent="0.4">
      <c r="A13" s="2">
        <v>12</v>
      </c>
      <c r="B13" s="2" t="s">
        <v>9</v>
      </c>
      <c r="C13" s="2">
        <v>3</v>
      </c>
      <c r="D13" s="2">
        <v>20.5</v>
      </c>
      <c r="E13" s="2">
        <v>20.3</v>
      </c>
      <c r="F13" s="2">
        <v>126</v>
      </c>
      <c r="G13" s="2">
        <v>120</v>
      </c>
    </row>
    <row r="14" spans="1:7" ht="15.75" customHeight="1" x14ac:dyDescent="0.4">
      <c r="A14" s="2">
        <v>13</v>
      </c>
      <c r="B14" s="2" t="s">
        <v>9</v>
      </c>
      <c r="C14" s="2">
        <v>4</v>
      </c>
      <c r="D14" s="2">
        <v>20.5</v>
      </c>
      <c r="E14" s="2">
        <v>20</v>
      </c>
      <c r="F14" s="2">
        <v>136</v>
      </c>
      <c r="G14" s="2">
        <v>125</v>
      </c>
    </row>
    <row r="15" spans="1:7" ht="15.75" customHeight="1" x14ac:dyDescent="0.4">
      <c r="A15" s="2">
        <v>14</v>
      </c>
      <c r="B15" s="2" t="s">
        <v>9</v>
      </c>
      <c r="C15" s="2">
        <v>5</v>
      </c>
      <c r="D15" s="2">
        <v>19.5</v>
      </c>
      <c r="E15" s="2">
        <v>20</v>
      </c>
      <c r="F15" s="2">
        <v>134</v>
      </c>
      <c r="G15" s="2">
        <v>190</v>
      </c>
    </row>
    <row r="16" spans="1:7" ht="15.75" customHeight="1" x14ac:dyDescent="0.4">
      <c r="A16" s="2">
        <v>15</v>
      </c>
      <c r="B16" s="2" t="s">
        <v>9</v>
      </c>
      <c r="C16" s="2">
        <v>6</v>
      </c>
      <c r="D16" s="2">
        <v>21</v>
      </c>
      <c r="E16" s="2">
        <v>22</v>
      </c>
      <c r="F16" s="2">
        <v>120</v>
      </c>
      <c r="G16" s="2">
        <v>183</v>
      </c>
    </row>
    <row r="17" spans="1:7" ht="15.75" customHeight="1" x14ac:dyDescent="0.4">
      <c r="A17" s="2">
        <v>16</v>
      </c>
      <c r="B17" s="3" t="s">
        <v>12</v>
      </c>
      <c r="C17" s="3">
        <v>1</v>
      </c>
      <c r="D17" s="3">
        <v>27.8</v>
      </c>
      <c r="E17" s="3">
        <v>27.5</v>
      </c>
      <c r="F17" s="3">
        <v>318</v>
      </c>
      <c r="G17" s="3">
        <v>325</v>
      </c>
    </row>
    <row r="18" spans="1:7" ht="15.75" customHeight="1" x14ac:dyDescent="0.4">
      <c r="A18" s="2">
        <v>17</v>
      </c>
      <c r="B18" s="3" t="s">
        <v>12</v>
      </c>
      <c r="C18" s="3">
        <v>2</v>
      </c>
      <c r="D18" s="3">
        <v>24.8</v>
      </c>
      <c r="E18" s="3">
        <v>23</v>
      </c>
      <c r="F18" s="3">
        <v>217</v>
      </c>
      <c r="G18" s="3">
        <v>240</v>
      </c>
    </row>
    <row r="19" spans="1:7" ht="15.75" customHeight="1" x14ac:dyDescent="0.4">
      <c r="A19" s="2">
        <v>18</v>
      </c>
      <c r="B19" s="3" t="s">
        <v>12</v>
      </c>
      <c r="C19" s="3">
        <v>3</v>
      </c>
      <c r="D19" s="3">
        <v>23</v>
      </c>
      <c r="E19" s="3">
        <v>23.2</v>
      </c>
      <c r="F19" s="3">
        <v>186</v>
      </c>
      <c r="G19" s="3">
        <v>200</v>
      </c>
    </row>
    <row r="20" spans="1:7" ht="15.75" customHeight="1" x14ac:dyDescent="0.4">
      <c r="A20" s="2">
        <v>19</v>
      </c>
      <c r="B20" s="3" t="s">
        <v>12</v>
      </c>
      <c r="C20" s="3">
        <v>4</v>
      </c>
      <c r="D20" s="3">
        <v>21.3</v>
      </c>
      <c r="E20" s="3">
        <v>20</v>
      </c>
      <c r="F20" s="3">
        <v>141</v>
      </c>
      <c r="G20" s="3">
        <v>150</v>
      </c>
    </row>
    <row r="21" spans="1:7" ht="15.75" customHeight="1" x14ac:dyDescent="0.4">
      <c r="A21" s="2">
        <v>20</v>
      </c>
      <c r="B21" s="3" t="s">
        <v>12</v>
      </c>
      <c r="C21" s="3">
        <v>5</v>
      </c>
      <c r="D21" s="3">
        <v>20.2</v>
      </c>
      <c r="E21" s="3">
        <v>21.1</v>
      </c>
      <c r="F21" s="3">
        <v>166</v>
      </c>
      <c r="G21" s="3">
        <v>180</v>
      </c>
    </row>
    <row r="22" spans="1:7" ht="15.75" customHeight="1" x14ac:dyDescent="0.55000000000000004">
      <c r="A22" s="2">
        <v>21</v>
      </c>
      <c r="B22" s="2" t="s">
        <v>7</v>
      </c>
      <c r="C22" s="2">
        <v>1</v>
      </c>
      <c r="D22" s="4">
        <v>30.13</v>
      </c>
      <c r="E22" s="4">
        <v>29.33</v>
      </c>
      <c r="F22" s="4">
        <v>365</v>
      </c>
      <c r="G22" s="4">
        <v>400</v>
      </c>
    </row>
    <row r="23" spans="1:7" ht="15.75" customHeight="1" x14ac:dyDescent="0.55000000000000004">
      <c r="A23" s="2">
        <v>22</v>
      </c>
      <c r="B23" s="2" t="s">
        <v>7</v>
      </c>
      <c r="C23" s="2">
        <v>2</v>
      </c>
      <c r="D23" s="4">
        <v>22.5</v>
      </c>
      <c r="E23" s="4">
        <v>22.37</v>
      </c>
      <c r="F23" s="4">
        <v>172</v>
      </c>
      <c r="G23" s="4">
        <v>175</v>
      </c>
    </row>
    <row r="24" spans="1:7" ht="15.75" customHeight="1" x14ac:dyDescent="0.55000000000000004">
      <c r="A24" s="2">
        <v>23</v>
      </c>
      <c r="B24" s="2" t="s">
        <v>7</v>
      </c>
      <c r="C24" s="2">
        <v>3</v>
      </c>
      <c r="D24" s="4">
        <v>21.33</v>
      </c>
      <c r="E24" s="4">
        <v>21.23</v>
      </c>
      <c r="F24" s="4">
        <v>152</v>
      </c>
      <c r="G24" s="4">
        <v>170</v>
      </c>
    </row>
    <row r="25" spans="1:7" ht="15.75" customHeight="1" x14ac:dyDescent="0.55000000000000004">
      <c r="A25" s="2">
        <v>24</v>
      </c>
      <c r="B25" s="2" t="s">
        <v>7</v>
      </c>
      <c r="C25" s="2">
        <v>4</v>
      </c>
      <c r="D25" s="4">
        <v>21.67</v>
      </c>
      <c r="E25" s="4">
        <v>21.13</v>
      </c>
      <c r="F25" s="4">
        <v>148</v>
      </c>
      <c r="G25" s="4">
        <v>140</v>
      </c>
    </row>
    <row r="26" spans="1:7" ht="15.75" customHeight="1" x14ac:dyDescent="0.55000000000000004">
      <c r="A26" s="2">
        <v>25</v>
      </c>
      <c r="B26" s="2" t="s">
        <v>7</v>
      </c>
      <c r="C26" s="2">
        <v>5</v>
      </c>
      <c r="D26" s="4">
        <v>18.77</v>
      </c>
      <c r="E26" s="4">
        <v>18</v>
      </c>
      <c r="F26" s="4">
        <v>93</v>
      </c>
      <c r="G26" s="4">
        <v>100</v>
      </c>
    </row>
    <row r="27" spans="1:7" ht="15.75" customHeight="1" x14ac:dyDescent="0.4">
      <c r="A27" s="2">
        <v>26</v>
      </c>
      <c r="B27" s="3" t="s">
        <v>8</v>
      </c>
      <c r="C27" s="3">
        <v>1</v>
      </c>
      <c r="D27" s="3">
        <v>27.5</v>
      </c>
      <c r="E27" s="3">
        <v>27.5</v>
      </c>
      <c r="F27" s="3">
        <v>314</v>
      </c>
      <c r="G27" s="3">
        <v>350</v>
      </c>
    </row>
    <row r="28" spans="1:7" ht="15.75" customHeight="1" x14ac:dyDescent="0.4">
      <c r="A28" s="2">
        <v>27</v>
      </c>
      <c r="B28" s="3" t="s">
        <v>8</v>
      </c>
      <c r="C28" s="3">
        <v>2</v>
      </c>
      <c r="D28" s="3">
        <v>19</v>
      </c>
      <c r="E28" s="3">
        <v>20</v>
      </c>
      <c r="F28" s="3">
        <v>112</v>
      </c>
      <c r="G28" s="3">
        <v>120</v>
      </c>
    </row>
    <row r="29" spans="1:7" ht="15.75" customHeight="1" x14ac:dyDescent="0.4">
      <c r="A29" s="2">
        <v>28</v>
      </c>
      <c r="B29" s="3" t="s">
        <v>8</v>
      </c>
      <c r="C29" s="3">
        <v>3</v>
      </c>
      <c r="D29" s="3">
        <v>18.5</v>
      </c>
      <c r="E29" s="3">
        <v>18</v>
      </c>
      <c r="F29" s="3">
        <v>93</v>
      </c>
      <c r="G29" s="3">
        <v>100</v>
      </c>
    </row>
  </sheetData>
  <sortState xmlns:xlrd2="http://schemas.microsoft.com/office/spreadsheetml/2017/richdata2" ref="A2:G29">
    <sortCondition ref="A2:A2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EA67-2228-46BF-A6A5-41A4FE3A0636}">
  <dimension ref="A1"/>
  <sheetViews>
    <sheetView workbookViewId="0"/>
  </sheetViews>
  <sheetFormatPr defaultRowHeight="12.3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7AE6-D6A6-AC4B-B323-EA993B35D056}">
  <sheetPr>
    <outlinePr summaryBelow="0" summaryRight="0"/>
  </sheetPr>
  <dimension ref="A1:L33"/>
  <sheetViews>
    <sheetView tabSelected="1" zoomScale="61" workbookViewId="0">
      <selection activeCell="K4" sqref="K4"/>
    </sheetView>
  </sheetViews>
  <sheetFormatPr defaultColWidth="12.6640625" defaultRowHeight="15.75" customHeight="1" x14ac:dyDescent="0.4"/>
  <cols>
    <col min="1" max="1" width="4.33203125" customWidth="1"/>
    <col min="2" max="2" width="12" customWidth="1"/>
    <col min="3" max="3" width="7.83203125" customWidth="1"/>
    <col min="8" max="8" width="8.0546875" bestFit="1" customWidth="1"/>
    <col min="9" max="10" width="18" customWidth="1"/>
  </cols>
  <sheetData>
    <row r="1" spans="1:12" ht="15.75" customHeight="1" x14ac:dyDescent="0.4">
      <c r="F1" s="5"/>
      <c r="G1" s="5"/>
      <c r="H1" s="5"/>
      <c r="I1" s="5" t="s">
        <v>14</v>
      </c>
      <c r="J1" s="5"/>
      <c r="K1" s="5" t="s">
        <v>21</v>
      </c>
    </row>
    <row r="2" spans="1:12" ht="15.75" customHeight="1" x14ac:dyDescent="0.4">
      <c r="H2" s="5" t="s">
        <v>18</v>
      </c>
      <c r="I2">
        <v>17.995999999999999</v>
      </c>
      <c r="K2">
        <v>17.995999999999999</v>
      </c>
    </row>
    <row r="3" spans="1:12" ht="15.75" customHeight="1" x14ac:dyDescent="0.4">
      <c r="F3" s="5" t="s">
        <v>16</v>
      </c>
      <c r="G3" s="5" t="s">
        <v>17</v>
      </c>
      <c r="H3" s="5" t="s">
        <v>19</v>
      </c>
      <c r="I3">
        <v>0.81859999999999999</v>
      </c>
      <c r="K3">
        <v>0.5</v>
      </c>
    </row>
    <row r="4" spans="1:12" ht="15.75" customHeight="1" x14ac:dyDescent="0.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6"/>
      <c r="I4" s="1" t="s">
        <v>13</v>
      </c>
      <c r="J4" s="1" t="s">
        <v>20</v>
      </c>
      <c r="K4" s="1" t="s">
        <v>15</v>
      </c>
      <c r="L4" s="1" t="s">
        <v>20</v>
      </c>
    </row>
    <row r="5" spans="1:12" ht="15.75" customHeight="1" x14ac:dyDescent="0.4">
      <c r="A5" s="2">
        <v>1</v>
      </c>
      <c r="B5" s="3" t="s">
        <v>11</v>
      </c>
      <c r="C5" s="3">
        <v>1</v>
      </c>
      <c r="D5" s="3">
        <v>23.7</v>
      </c>
      <c r="E5" s="3">
        <v>24</v>
      </c>
      <c r="F5" s="3">
        <v>206</v>
      </c>
      <c r="G5" s="3">
        <v>280</v>
      </c>
      <c r="H5" s="7"/>
      <c r="I5" s="10">
        <f>I$2 +I$3*G5</f>
        <v>247.20400000000001</v>
      </c>
      <c r="J5" s="11">
        <f>(F5-I5)^2</f>
        <v>1697.7696160000007</v>
      </c>
      <c r="K5" s="10">
        <f>K$2 +K$3*I5</f>
        <v>141.59800000000001</v>
      </c>
      <c r="L5" s="11">
        <f t="shared" ref="L5:L32" si="0">(F5-K5)^2</f>
        <v>4147.6176039999982</v>
      </c>
    </row>
    <row r="6" spans="1:12" ht="15.75" customHeight="1" x14ac:dyDescent="0.4">
      <c r="A6" s="2">
        <v>2</v>
      </c>
      <c r="B6" s="3" t="s">
        <v>11</v>
      </c>
      <c r="C6" s="3">
        <v>2</v>
      </c>
      <c r="D6" s="3">
        <v>26</v>
      </c>
      <c r="E6" s="3">
        <v>22</v>
      </c>
      <c r="F6" s="3">
        <v>295</v>
      </c>
      <c r="G6" s="3">
        <v>350</v>
      </c>
      <c r="H6" s="7"/>
      <c r="I6" s="10">
        <f t="shared" ref="I6:I32" si="1">I$2 +I$3*G6</f>
        <v>304.50599999999997</v>
      </c>
      <c r="J6" s="11">
        <f t="shared" ref="J6:J32" si="2">(F6-I6)^2</f>
        <v>90.364035999999459</v>
      </c>
      <c r="K6" s="10">
        <f t="shared" ref="K6:K32" si="3">K$2 +K$3*I6</f>
        <v>170.249</v>
      </c>
      <c r="L6" s="11">
        <f t="shared" si="0"/>
        <v>15562.812001000002</v>
      </c>
    </row>
    <row r="7" spans="1:12" ht="15.75" customHeight="1" x14ac:dyDescent="0.4">
      <c r="A7" s="2">
        <v>3</v>
      </c>
      <c r="B7" s="3" t="s">
        <v>11</v>
      </c>
      <c r="C7" s="3">
        <v>3</v>
      </c>
      <c r="D7" s="3">
        <v>23</v>
      </c>
      <c r="E7" s="3">
        <v>22</v>
      </c>
      <c r="F7" s="3">
        <v>240</v>
      </c>
      <c r="G7" s="3">
        <v>200</v>
      </c>
      <c r="H7" s="7"/>
      <c r="I7" s="10">
        <f t="shared" si="1"/>
        <v>181.71600000000001</v>
      </c>
      <c r="J7" s="11">
        <f t="shared" si="2"/>
        <v>3397.0246559999991</v>
      </c>
      <c r="K7" s="10">
        <f t="shared" si="3"/>
        <v>108.854</v>
      </c>
      <c r="L7" s="11">
        <f t="shared" si="0"/>
        <v>17199.273316000003</v>
      </c>
    </row>
    <row r="8" spans="1:12" ht="15.75" customHeight="1" x14ac:dyDescent="0.4">
      <c r="A8" s="2">
        <v>4</v>
      </c>
      <c r="B8" s="3" t="s">
        <v>11</v>
      </c>
      <c r="C8" s="3">
        <v>4</v>
      </c>
      <c r="D8" s="3">
        <v>20</v>
      </c>
      <c r="E8" s="3">
        <v>21</v>
      </c>
      <c r="F8" s="3">
        <v>133</v>
      </c>
      <c r="G8" s="3">
        <v>170</v>
      </c>
      <c r="H8" s="7"/>
      <c r="I8" s="10">
        <f t="shared" si="1"/>
        <v>157.15800000000002</v>
      </c>
      <c r="J8" s="11">
        <f t="shared" si="2"/>
        <v>583.6089640000007</v>
      </c>
      <c r="K8" s="10">
        <f t="shared" si="3"/>
        <v>96.575000000000003</v>
      </c>
      <c r="L8" s="11">
        <f t="shared" si="0"/>
        <v>1326.7806249999999</v>
      </c>
    </row>
    <row r="9" spans="1:12" ht="15.75" customHeight="1" x14ac:dyDescent="0.4">
      <c r="A9" s="2">
        <v>5</v>
      </c>
      <c r="B9" s="2" t="s">
        <v>10</v>
      </c>
      <c r="C9" s="2">
        <v>1</v>
      </c>
      <c r="D9" s="2">
        <v>27.47</v>
      </c>
      <c r="E9" s="2">
        <v>26.67</v>
      </c>
      <c r="F9" s="2">
        <v>294.67</v>
      </c>
      <c r="G9" s="2">
        <v>393.33</v>
      </c>
      <c r="H9" s="8"/>
      <c r="I9" s="10">
        <f t="shared" si="1"/>
        <v>339.97593799999999</v>
      </c>
      <c r="J9" s="11">
        <f t="shared" si="2"/>
        <v>2052.628018059841</v>
      </c>
      <c r="K9" s="10">
        <f t="shared" si="3"/>
        <v>187.983969</v>
      </c>
      <c r="L9" s="11">
        <f t="shared" si="0"/>
        <v>11381.909210532964</v>
      </c>
    </row>
    <row r="10" spans="1:12" ht="15.75" customHeight="1" x14ac:dyDescent="0.4">
      <c r="A10" s="2">
        <v>6</v>
      </c>
      <c r="B10" s="2" t="s">
        <v>10</v>
      </c>
      <c r="C10" s="2">
        <v>2</v>
      </c>
      <c r="D10" s="2">
        <v>22.8</v>
      </c>
      <c r="E10" s="2">
        <v>22.1</v>
      </c>
      <c r="F10" s="2">
        <v>177.33</v>
      </c>
      <c r="G10" s="2">
        <v>200</v>
      </c>
      <c r="H10" s="8"/>
      <c r="I10" s="10">
        <f t="shared" si="1"/>
        <v>181.71600000000001</v>
      </c>
      <c r="J10" s="11">
        <f t="shared" si="2"/>
        <v>19.236995999999962</v>
      </c>
      <c r="K10" s="10">
        <f t="shared" si="3"/>
        <v>108.854</v>
      </c>
      <c r="L10" s="11">
        <f t="shared" si="0"/>
        <v>4688.9625760000017</v>
      </c>
    </row>
    <row r="11" spans="1:12" ht="15.75" customHeight="1" x14ac:dyDescent="0.4">
      <c r="A11" s="2">
        <v>7</v>
      </c>
      <c r="B11" s="2" t="s">
        <v>10</v>
      </c>
      <c r="C11" s="2">
        <v>3</v>
      </c>
      <c r="D11" s="2">
        <v>19.73</v>
      </c>
      <c r="E11" s="2">
        <v>20.07</v>
      </c>
      <c r="F11" s="2">
        <v>126.33</v>
      </c>
      <c r="G11" s="2">
        <v>121.67</v>
      </c>
      <c r="H11" s="8"/>
      <c r="I11" s="10">
        <f t="shared" si="1"/>
        <v>117.595062</v>
      </c>
      <c r="J11" s="11">
        <f t="shared" si="2"/>
        <v>76.299141863844</v>
      </c>
      <c r="K11" s="10">
        <f t="shared" si="3"/>
        <v>76.793531000000002</v>
      </c>
      <c r="L11" s="11">
        <f t="shared" si="0"/>
        <v>2453.8617609879607</v>
      </c>
    </row>
    <row r="12" spans="1:12" ht="15.75" customHeight="1" x14ac:dyDescent="0.4">
      <c r="A12" s="2">
        <v>8</v>
      </c>
      <c r="B12" s="2" t="s">
        <v>10</v>
      </c>
      <c r="C12" s="2">
        <v>4</v>
      </c>
      <c r="D12" s="2">
        <v>21.17</v>
      </c>
      <c r="E12" s="2">
        <v>20.73</v>
      </c>
      <c r="F12" s="2">
        <v>142.33000000000001</v>
      </c>
      <c r="G12" s="2">
        <v>171.67</v>
      </c>
      <c r="H12" s="8"/>
      <c r="I12" s="10">
        <f t="shared" si="1"/>
        <v>158.52506199999999</v>
      </c>
      <c r="J12" s="11">
        <f t="shared" si="2"/>
        <v>262.28003318384333</v>
      </c>
      <c r="K12" s="10">
        <f t="shared" si="3"/>
        <v>97.258530999999991</v>
      </c>
      <c r="L12" s="11">
        <f t="shared" si="0"/>
        <v>2031.437317817963</v>
      </c>
    </row>
    <row r="13" spans="1:12" ht="15.75" customHeight="1" x14ac:dyDescent="0.4">
      <c r="A13" s="2">
        <v>9</v>
      </c>
      <c r="B13" s="2" t="s">
        <v>10</v>
      </c>
      <c r="C13" s="2">
        <v>5</v>
      </c>
      <c r="D13" s="2">
        <v>20.100000000000001</v>
      </c>
      <c r="E13" s="2">
        <v>19.47</v>
      </c>
      <c r="F13" s="2">
        <v>131</v>
      </c>
      <c r="G13" s="2">
        <v>118.33</v>
      </c>
      <c r="H13" s="8"/>
      <c r="I13" s="10">
        <f t="shared" si="1"/>
        <v>114.86093799999999</v>
      </c>
      <c r="J13" s="11">
        <f t="shared" si="2"/>
        <v>260.4693222398443</v>
      </c>
      <c r="K13" s="10">
        <f t="shared" si="3"/>
        <v>75.426468999999997</v>
      </c>
      <c r="L13" s="11">
        <f t="shared" si="0"/>
        <v>3088.4173478079615</v>
      </c>
    </row>
    <row r="14" spans="1:12" ht="15.75" customHeight="1" x14ac:dyDescent="0.4">
      <c r="A14" s="2">
        <v>10</v>
      </c>
      <c r="B14" s="2" t="s">
        <v>9</v>
      </c>
      <c r="C14" s="2">
        <v>1</v>
      </c>
      <c r="D14" s="2">
        <v>27</v>
      </c>
      <c r="E14" s="2">
        <v>27</v>
      </c>
      <c r="F14" s="2">
        <v>317</v>
      </c>
      <c r="G14" s="2">
        <v>315</v>
      </c>
      <c r="H14" s="8"/>
      <c r="I14" s="10">
        <f t="shared" si="1"/>
        <v>275.85499999999996</v>
      </c>
      <c r="J14" s="11">
        <f t="shared" si="2"/>
        <v>1692.9110250000033</v>
      </c>
      <c r="K14" s="10">
        <f t="shared" si="3"/>
        <v>155.92349999999999</v>
      </c>
      <c r="L14" s="11">
        <f t="shared" si="0"/>
        <v>25945.638852250002</v>
      </c>
    </row>
    <row r="15" spans="1:12" ht="15.75" customHeight="1" x14ac:dyDescent="0.4">
      <c r="A15" s="2">
        <v>11</v>
      </c>
      <c r="B15" s="2" t="s">
        <v>9</v>
      </c>
      <c r="C15" s="2">
        <v>2</v>
      </c>
      <c r="D15" s="2">
        <v>22.5</v>
      </c>
      <c r="E15" s="2">
        <v>22.7</v>
      </c>
      <c r="F15" s="2">
        <v>182</v>
      </c>
      <c r="G15" s="2">
        <v>195</v>
      </c>
      <c r="H15" s="8"/>
      <c r="I15" s="10">
        <f t="shared" si="1"/>
        <v>177.62300000000002</v>
      </c>
      <c r="J15" s="11">
        <f t="shared" si="2"/>
        <v>19.158128999999835</v>
      </c>
      <c r="K15" s="10">
        <f t="shared" si="3"/>
        <v>106.8075</v>
      </c>
      <c r="L15" s="11">
        <f t="shared" si="0"/>
        <v>5653.9120562499993</v>
      </c>
    </row>
    <row r="16" spans="1:12" ht="15.75" customHeight="1" x14ac:dyDescent="0.4">
      <c r="A16" s="2">
        <v>12</v>
      </c>
      <c r="B16" s="2" t="s">
        <v>9</v>
      </c>
      <c r="C16" s="2">
        <v>3</v>
      </c>
      <c r="D16" s="2">
        <v>20.5</v>
      </c>
      <c r="E16" s="2">
        <v>20.3</v>
      </c>
      <c r="F16" s="2">
        <v>126</v>
      </c>
      <c r="G16" s="2">
        <v>120</v>
      </c>
      <c r="H16" s="8"/>
      <c r="I16" s="10">
        <f t="shared" si="1"/>
        <v>116.22799999999999</v>
      </c>
      <c r="J16" s="11">
        <f t="shared" si="2"/>
        <v>95.491984000000116</v>
      </c>
      <c r="K16" s="10">
        <f t="shared" si="3"/>
        <v>76.11</v>
      </c>
      <c r="L16" s="11">
        <f t="shared" si="0"/>
        <v>2489.0120999999999</v>
      </c>
    </row>
    <row r="17" spans="1:12" ht="15.75" customHeight="1" x14ac:dyDescent="0.4">
      <c r="A17" s="2">
        <v>13</v>
      </c>
      <c r="B17" s="2" t="s">
        <v>9</v>
      </c>
      <c r="C17" s="2">
        <v>4</v>
      </c>
      <c r="D17" s="2">
        <v>20.5</v>
      </c>
      <c r="E17" s="2">
        <v>20</v>
      </c>
      <c r="F17" s="2">
        <v>136</v>
      </c>
      <c r="G17" s="2">
        <v>125</v>
      </c>
      <c r="H17" s="8"/>
      <c r="I17" s="10">
        <f t="shared" si="1"/>
        <v>120.321</v>
      </c>
      <c r="J17" s="11">
        <f t="shared" si="2"/>
        <v>245.83104100000006</v>
      </c>
      <c r="K17" s="10">
        <f t="shared" si="3"/>
        <v>78.156499999999994</v>
      </c>
      <c r="L17" s="11">
        <f t="shared" si="0"/>
        <v>3345.8704922500006</v>
      </c>
    </row>
    <row r="18" spans="1:12" ht="15.75" customHeight="1" x14ac:dyDescent="0.4">
      <c r="A18" s="2">
        <v>14</v>
      </c>
      <c r="B18" s="2" t="s">
        <v>9</v>
      </c>
      <c r="C18" s="2">
        <v>5</v>
      </c>
      <c r="D18" s="2">
        <v>19.5</v>
      </c>
      <c r="E18" s="2">
        <v>20</v>
      </c>
      <c r="F18" s="2">
        <v>134</v>
      </c>
      <c r="G18" s="2">
        <v>190</v>
      </c>
      <c r="H18" s="8"/>
      <c r="I18" s="10">
        <f t="shared" si="1"/>
        <v>173.53</v>
      </c>
      <c r="J18" s="11">
        <f t="shared" si="2"/>
        <v>1562.6209000000001</v>
      </c>
      <c r="K18" s="10">
        <f t="shared" si="3"/>
        <v>104.761</v>
      </c>
      <c r="L18" s="11">
        <f t="shared" si="0"/>
        <v>854.91912100000025</v>
      </c>
    </row>
    <row r="19" spans="1:12" ht="15.75" customHeight="1" x14ac:dyDescent="0.4">
      <c r="A19" s="2">
        <v>15</v>
      </c>
      <c r="B19" s="2" t="s">
        <v>9</v>
      </c>
      <c r="C19" s="2">
        <v>6</v>
      </c>
      <c r="D19" s="2">
        <v>21</v>
      </c>
      <c r="E19" s="2">
        <v>22</v>
      </c>
      <c r="F19" s="2">
        <v>120</v>
      </c>
      <c r="G19" s="2">
        <v>183</v>
      </c>
      <c r="H19" s="8"/>
      <c r="I19" s="10">
        <f t="shared" si="1"/>
        <v>167.7998</v>
      </c>
      <c r="J19" s="11">
        <f t="shared" si="2"/>
        <v>2284.8208800400002</v>
      </c>
      <c r="K19" s="10">
        <f t="shared" si="3"/>
        <v>101.8959</v>
      </c>
      <c r="L19" s="11">
        <f t="shared" si="0"/>
        <v>327.75843681000009</v>
      </c>
    </row>
    <row r="20" spans="1:12" ht="15.75" customHeight="1" x14ac:dyDescent="0.4">
      <c r="A20" s="2">
        <v>16</v>
      </c>
      <c r="B20" s="3" t="s">
        <v>12</v>
      </c>
      <c r="C20" s="3">
        <v>1</v>
      </c>
      <c r="D20" s="3">
        <v>27.8</v>
      </c>
      <c r="E20" s="3">
        <v>27.5</v>
      </c>
      <c r="F20" s="3">
        <v>318</v>
      </c>
      <c r="G20" s="3">
        <v>325</v>
      </c>
      <c r="H20" s="7"/>
      <c r="I20" s="10">
        <f t="shared" si="1"/>
        <v>284.041</v>
      </c>
      <c r="J20" s="11">
        <f t="shared" si="2"/>
        <v>1153.2136810000002</v>
      </c>
      <c r="K20" s="10">
        <f t="shared" si="3"/>
        <v>160.01650000000001</v>
      </c>
      <c r="L20" s="11">
        <f t="shared" si="0"/>
        <v>24958.786272249996</v>
      </c>
    </row>
    <row r="21" spans="1:12" ht="15.75" customHeight="1" x14ac:dyDescent="0.4">
      <c r="A21" s="2">
        <v>17</v>
      </c>
      <c r="B21" s="3" t="s">
        <v>12</v>
      </c>
      <c r="C21" s="3">
        <v>2</v>
      </c>
      <c r="D21" s="3">
        <v>24.8</v>
      </c>
      <c r="E21" s="3">
        <v>23</v>
      </c>
      <c r="F21" s="3">
        <v>217</v>
      </c>
      <c r="G21" s="3">
        <v>240</v>
      </c>
      <c r="H21" s="7"/>
      <c r="I21" s="10">
        <f t="shared" si="1"/>
        <v>214.46</v>
      </c>
      <c r="J21" s="11">
        <f t="shared" si="2"/>
        <v>6.4515999999999591</v>
      </c>
      <c r="K21" s="10">
        <f t="shared" si="3"/>
        <v>125.226</v>
      </c>
      <c r="L21" s="11">
        <f t="shared" si="0"/>
        <v>8422.4670760000008</v>
      </c>
    </row>
    <row r="22" spans="1:12" ht="15.75" customHeight="1" x14ac:dyDescent="0.4">
      <c r="A22" s="2">
        <v>18</v>
      </c>
      <c r="B22" s="3" t="s">
        <v>12</v>
      </c>
      <c r="C22" s="3">
        <v>3</v>
      </c>
      <c r="D22" s="3">
        <v>23</v>
      </c>
      <c r="E22" s="3">
        <v>23.2</v>
      </c>
      <c r="F22" s="3">
        <v>186</v>
      </c>
      <c r="G22" s="3">
        <v>200</v>
      </c>
      <c r="H22" s="7"/>
      <c r="I22" s="10">
        <f t="shared" si="1"/>
        <v>181.71600000000001</v>
      </c>
      <c r="J22" s="11">
        <f t="shared" si="2"/>
        <v>18.352655999999929</v>
      </c>
      <c r="K22" s="10">
        <f t="shared" si="3"/>
        <v>108.854</v>
      </c>
      <c r="L22" s="11">
        <f t="shared" si="0"/>
        <v>5951.5053159999998</v>
      </c>
    </row>
    <row r="23" spans="1:12" ht="15.75" customHeight="1" x14ac:dyDescent="0.4">
      <c r="A23" s="2">
        <v>19</v>
      </c>
      <c r="B23" s="3" t="s">
        <v>12</v>
      </c>
      <c r="C23" s="3">
        <v>4</v>
      </c>
      <c r="D23" s="3">
        <v>21.3</v>
      </c>
      <c r="E23" s="3">
        <v>20</v>
      </c>
      <c r="F23" s="3">
        <v>141</v>
      </c>
      <c r="G23" s="3">
        <v>150</v>
      </c>
      <c r="H23" s="7"/>
      <c r="I23" s="10">
        <f t="shared" si="1"/>
        <v>140.786</v>
      </c>
      <c r="J23" s="11">
        <f t="shared" si="2"/>
        <v>4.5795999999999414E-2</v>
      </c>
      <c r="K23" s="10">
        <f t="shared" si="3"/>
        <v>88.388999999999996</v>
      </c>
      <c r="L23" s="11">
        <f t="shared" si="0"/>
        <v>2767.9173210000004</v>
      </c>
    </row>
    <row r="24" spans="1:12" ht="15.75" customHeight="1" x14ac:dyDescent="0.4">
      <c r="A24" s="2">
        <v>20</v>
      </c>
      <c r="B24" s="3" t="s">
        <v>12</v>
      </c>
      <c r="C24" s="3">
        <v>5</v>
      </c>
      <c r="D24" s="3">
        <v>20.2</v>
      </c>
      <c r="E24" s="3">
        <v>21.1</v>
      </c>
      <c r="F24" s="3">
        <v>166</v>
      </c>
      <c r="G24" s="3">
        <v>180</v>
      </c>
      <c r="H24" s="7"/>
      <c r="I24" s="10">
        <f t="shared" si="1"/>
        <v>165.34400000000002</v>
      </c>
      <c r="J24" s="11">
        <f t="shared" si="2"/>
        <v>0.43033599999997046</v>
      </c>
      <c r="K24" s="10">
        <f t="shared" si="3"/>
        <v>100.66800000000001</v>
      </c>
      <c r="L24" s="11">
        <f t="shared" si="0"/>
        <v>4268.270223999999</v>
      </c>
    </row>
    <row r="25" spans="1:12" ht="15.75" customHeight="1" x14ac:dyDescent="0.55000000000000004">
      <c r="A25" s="2">
        <v>21</v>
      </c>
      <c r="B25" s="2" t="s">
        <v>7</v>
      </c>
      <c r="C25" s="2">
        <v>1</v>
      </c>
      <c r="D25" s="4">
        <v>30.13</v>
      </c>
      <c r="E25" s="4">
        <v>29.33</v>
      </c>
      <c r="F25" s="4">
        <v>365</v>
      </c>
      <c r="G25" s="4">
        <v>400</v>
      </c>
      <c r="H25" s="9"/>
      <c r="I25" s="10">
        <f t="shared" si="1"/>
        <v>345.43599999999998</v>
      </c>
      <c r="J25" s="11">
        <f t="shared" si="2"/>
        <v>382.75009600000084</v>
      </c>
      <c r="K25" s="10">
        <f t="shared" si="3"/>
        <v>190.714</v>
      </c>
      <c r="L25" s="11">
        <f t="shared" si="0"/>
        <v>30375.609796000001</v>
      </c>
    </row>
    <row r="26" spans="1:12" ht="15.75" customHeight="1" x14ac:dyDescent="0.55000000000000004">
      <c r="A26" s="2">
        <v>22</v>
      </c>
      <c r="B26" s="2" t="s">
        <v>7</v>
      </c>
      <c r="C26" s="2">
        <v>2</v>
      </c>
      <c r="D26" s="4">
        <v>22.5</v>
      </c>
      <c r="E26" s="4">
        <v>22.37</v>
      </c>
      <c r="F26" s="4">
        <v>172</v>
      </c>
      <c r="G26" s="4">
        <v>175</v>
      </c>
      <c r="H26" s="9"/>
      <c r="I26" s="10">
        <f t="shared" si="1"/>
        <v>161.251</v>
      </c>
      <c r="J26" s="11">
        <f t="shared" si="2"/>
        <v>115.54100099999989</v>
      </c>
      <c r="K26" s="10">
        <f t="shared" si="3"/>
        <v>98.621499999999997</v>
      </c>
      <c r="L26" s="11">
        <f t="shared" si="0"/>
        <v>5384.4042622500001</v>
      </c>
    </row>
    <row r="27" spans="1:12" ht="15.75" customHeight="1" x14ac:dyDescent="0.55000000000000004">
      <c r="A27" s="2">
        <v>23</v>
      </c>
      <c r="B27" s="2" t="s">
        <v>7</v>
      </c>
      <c r="C27" s="2">
        <v>3</v>
      </c>
      <c r="D27" s="4">
        <v>21.33</v>
      </c>
      <c r="E27" s="4">
        <v>21.23</v>
      </c>
      <c r="F27" s="4">
        <v>152</v>
      </c>
      <c r="G27" s="4">
        <v>170</v>
      </c>
      <c r="H27" s="9"/>
      <c r="I27" s="10">
        <f t="shared" si="1"/>
        <v>157.15800000000002</v>
      </c>
      <c r="J27" s="11">
        <f t="shared" si="2"/>
        <v>26.604964000000159</v>
      </c>
      <c r="K27" s="10">
        <f t="shared" si="3"/>
        <v>96.575000000000003</v>
      </c>
      <c r="L27" s="11">
        <f t="shared" si="0"/>
        <v>3071.9306249999995</v>
      </c>
    </row>
    <row r="28" spans="1:12" ht="15.75" customHeight="1" x14ac:dyDescent="0.55000000000000004">
      <c r="A28" s="2">
        <v>24</v>
      </c>
      <c r="B28" s="2" t="s">
        <v>7</v>
      </c>
      <c r="C28" s="2">
        <v>4</v>
      </c>
      <c r="D28" s="4">
        <v>21.67</v>
      </c>
      <c r="E28" s="4">
        <v>21.13</v>
      </c>
      <c r="F28" s="4">
        <v>148</v>
      </c>
      <c r="G28" s="4">
        <v>140</v>
      </c>
      <c r="H28" s="9"/>
      <c r="I28" s="10">
        <f t="shared" si="1"/>
        <v>132.6</v>
      </c>
      <c r="J28" s="11">
        <f t="shared" si="2"/>
        <v>237.16000000000017</v>
      </c>
      <c r="K28" s="10">
        <f t="shared" si="3"/>
        <v>84.295999999999992</v>
      </c>
      <c r="L28" s="11">
        <f t="shared" si="0"/>
        <v>4058.1996160000008</v>
      </c>
    </row>
    <row r="29" spans="1:12" ht="15.75" customHeight="1" x14ac:dyDescent="0.55000000000000004">
      <c r="A29" s="2">
        <v>25</v>
      </c>
      <c r="B29" s="2" t="s">
        <v>7</v>
      </c>
      <c r="C29" s="2">
        <v>5</v>
      </c>
      <c r="D29" s="4">
        <v>18.77</v>
      </c>
      <c r="E29" s="4">
        <v>18</v>
      </c>
      <c r="F29" s="4">
        <v>93</v>
      </c>
      <c r="G29" s="4">
        <v>100</v>
      </c>
      <c r="H29" s="9"/>
      <c r="I29" s="10">
        <f t="shared" si="1"/>
        <v>99.855999999999995</v>
      </c>
      <c r="J29" s="11">
        <f t="shared" si="2"/>
        <v>47.004735999999923</v>
      </c>
      <c r="K29" s="10">
        <f t="shared" si="3"/>
        <v>67.923999999999992</v>
      </c>
      <c r="L29" s="11">
        <f t="shared" si="0"/>
        <v>628.80577600000038</v>
      </c>
    </row>
    <row r="30" spans="1:12" ht="15.75" customHeight="1" x14ac:dyDescent="0.4">
      <c r="A30" s="2">
        <v>26</v>
      </c>
      <c r="B30" s="3" t="s">
        <v>8</v>
      </c>
      <c r="C30" s="3">
        <v>1</v>
      </c>
      <c r="D30" s="3">
        <v>27.5</v>
      </c>
      <c r="E30" s="3">
        <v>27.5</v>
      </c>
      <c r="F30" s="3">
        <v>314</v>
      </c>
      <c r="G30" s="3">
        <v>350</v>
      </c>
      <c r="H30" s="7"/>
      <c r="I30" s="10">
        <f t="shared" si="1"/>
        <v>304.50599999999997</v>
      </c>
      <c r="J30" s="11">
        <f t="shared" si="2"/>
        <v>90.13603600000053</v>
      </c>
      <c r="K30" s="10">
        <f t="shared" si="3"/>
        <v>170.249</v>
      </c>
      <c r="L30" s="11">
        <f t="shared" si="0"/>
        <v>20664.350001000003</v>
      </c>
    </row>
    <row r="31" spans="1:12" ht="15.75" customHeight="1" x14ac:dyDescent="0.4">
      <c r="A31" s="2">
        <v>27</v>
      </c>
      <c r="B31" s="3" t="s">
        <v>8</v>
      </c>
      <c r="C31" s="3">
        <v>2</v>
      </c>
      <c r="D31" s="3">
        <v>19</v>
      </c>
      <c r="E31" s="3">
        <v>20</v>
      </c>
      <c r="F31" s="3">
        <v>112</v>
      </c>
      <c r="G31" s="3">
        <v>120</v>
      </c>
      <c r="H31" s="7"/>
      <c r="I31" s="10">
        <f t="shared" si="1"/>
        <v>116.22799999999999</v>
      </c>
      <c r="J31" s="11">
        <f t="shared" si="2"/>
        <v>17.875983999999953</v>
      </c>
      <c r="K31" s="10">
        <f t="shared" si="3"/>
        <v>76.11</v>
      </c>
      <c r="L31" s="11">
        <f t="shared" si="0"/>
        <v>1288.0921000000001</v>
      </c>
    </row>
    <row r="32" spans="1:12" ht="15.75" customHeight="1" x14ac:dyDescent="0.4">
      <c r="A32" s="2">
        <v>28</v>
      </c>
      <c r="B32" s="3" t="s">
        <v>8</v>
      </c>
      <c r="C32" s="3">
        <v>3</v>
      </c>
      <c r="D32" s="3">
        <v>18.5</v>
      </c>
      <c r="E32" s="3">
        <v>18</v>
      </c>
      <c r="F32" s="3">
        <v>93</v>
      </c>
      <c r="G32" s="3">
        <v>100</v>
      </c>
      <c r="H32" s="7"/>
      <c r="I32" s="10">
        <f t="shared" si="1"/>
        <v>99.855999999999995</v>
      </c>
      <c r="J32" s="11">
        <f t="shared" si="2"/>
        <v>47.004735999999923</v>
      </c>
      <c r="K32" s="10">
        <f t="shared" si="3"/>
        <v>67.923999999999992</v>
      </c>
      <c r="L32" s="11">
        <f t="shared" si="0"/>
        <v>628.80577600000038</v>
      </c>
    </row>
    <row r="33" spans="10:12" ht="15.75" customHeight="1" x14ac:dyDescent="0.4">
      <c r="J33" s="11">
        <f>AVERAGE(J5:J32)</f>
        <v>588.68165587097769</v>
      </c>
      <c r="L33" s="11">
        <f>AVERAGE(L5:L32)</f>
        <v>7605.9759635431037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linear_model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Nikhita Purohit</cp:lastModifiedBy>
  <dcterms:modified xsi:type="dcterms:W3CDTF">2026-03-12T03:49:08Z</dcterms:modified>
  <cp:category/>
</cp:coreProperties>
</file>